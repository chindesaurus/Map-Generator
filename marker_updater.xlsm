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fp037\Documents\Map Generator\"/>
    </mc:Choice>
  </mc:AlternateContent>
  <bookViews>
    <workbookView xWindow="150" yWindow="960" windowWidth="18150" windowHeight="9090"/>
  </bookViews>
  <sheets>
    <sheet name="JSON Generator" sheetId="1" r:id="rId1"/>
    <sheet name="Colors" sheetId="3" r:id="rId2"/>
  </sheets>
  <functionGroups builtInGroupCount="18"/>
  <definedNames>
    <definedName name="_ftn1" localSheetId="0">'JSON Generator'!#REF!</definedName>
    <definedName name="_ftnref1" localSheetId="0">'JSON Generator'!#REF!</definedName>
    <definedName name="filepath">'JSON Generator'!$G$1</definedName>
    <definedName name="timestamp">'JSON Generator'!$G$7</definedName>
  </definedNames>
  <calcPr calcId="162913" calcMode="autoNoTable" iterate="1" iterateCount="125"/>
</workbook>
</file>

<file path=xl/calcChain.xml><?xml version="1.0" encoding="utf-8"?>
<calcChain xmlns="http://schemas.openxmlformats.org/spreadsheetml/2006/main">
  <c r="E411" i="1" l="1"/>
  <c r="E410" i="1" s="1"/>
  <c r="E409" i="1" s="1"/>
  <c r="E408" i="1" s="1"/>
  <c r="E407" i="1" s="1"/>
  <c r="E406" i="1" s="1"/>
  <c r="E405" i="1" s="1"/>
  <c r="E404" i="1" s="1"/>
  <c r="E403" i="1" s="1"/>
  <c r="E402" i="1" s="1"/>
  <c r="E401" i="1" s="1"/>
  <c r="E400" i="1" s="1"/>
  <c r="E399" i="1" s="1"/>
  <c r="E398" i="1" s="1"/>
  <c r="E397" i="1" s="1"/>
  <c r="E396" i="1" s="1"/>
  <c r="E395" i="1" s="1"/>
  <c r="E394" i="1" s="1"/>
  <c r="E393" i="1" s="1"/>
  <c r="E392" i="1" s="1"/>
  <c r="E391" i="1" s="1"/>
  <c r="E390" i="1" s="1"/>
  <c r="E389" i="1" s="1"/>
  <c r="E388" i="1" s="1"/>
  <c r="E387" i="1" s="1"/>
  <c r="E386" i="1" s="1"/>
  <c r="E385" i="1" s="1"/>
  <c r="E384" i="1" s="1"/>
  <c r="E383" i="1" s="1"/>
  <c r="E382" i="1" s="1"/>
  <c r="E381" i="1" s="1"/>
  <c r="E380" i="1" s="1"/>
  <c r="E379" i="1" s="1"/>
  <c r="E378" i="1" s="1"/>
  <c r="E377" i="1" s="1"/>
  <c r="E376" i="1" s="1"/>
  <c r="E375" i="1" s="1"/>
  <c r="E374" i="1" s="1"/>
  <c r="E373" i="1" s="1"/>
  <c r="E372" i="1" s="1"/>
  <c r="E371" i="1" s="1"/>
  <c r="E370" i="1" s="1"/>
  <c r="E369" i="1" s="1"/>
  <c r="E368" i="1" s="1"/>
  <c r="E367" i="1" s="1"/>
  <c r="E366" i="1" s="1"/>
  <c r="E365" i="1" s="1"/>
  <c r="E364" i="1" s="1"/>
  <c r="E363" i="1" s="1"/>
  <c r="E362" i="1" s="1"/>
  <c r="E361" i="1" s="1"/>
  <c r="E360" i="1" s="1"/>
  <c r="E359" i="1" s="1"/>
  <c r="E358" i="1" s="1"/>
  <c r="E357" i="1" s="1"/>
  <c r="E356" i="1" s="1"/>
  <c r="E355" i="1" s="1"/>
  <c r="E354" i="1" s="1"/>
  <c r="E353" i="1" s="1"/>
  <c r="E352" i="1" s="1"/>
  <c r="E351" i="1" s="1"/>
  <c r="E350" i="1" s="1"/>
  <c r="E349" i="1" s="1"/>
  <c r="E348" i="1" s="1"/>
  <c r="E347" i="1" s="1"/>
  <c r="E346" i="1" s="1"/>
  <c r="E345" i="1" s="1"/>
  <c r="E344" i="1" s="1"/>
  <c r="E343" i="1" s="1"/>
  <c r="E342" i="1" s="1"/>
  <c r="E341" i="1" s="1"/>
  <c r="E340" i="1" s="1"/>
  <c r="E339" i="1" s="1"/>
  <c r="E338" i="1" s="1"/>
  <c r="E337" i="1" s="1"/>
  <c r="E336" i="1" s="1"/>
  <c r="E335" i="1" s="1"/>
  <c r="E334" i="1" s="1"/>
  <c r="E333" i="1" s="1"/>
  <c r="E332" i="1" s="1"/>
  <c r="E331" i="1" s="1"/>
  <c r="E330" i="1" s="1"/>
  <c r="E329" i="1" s="1"/>
  <c r="E328" i="1" s="1"/>
  <c r="E327" i="1" s="1"/>
  <c r="E326" i="1" s="1"/>
  <c r="E325" i="1" s="1"/>
  <c r="E324" i="1" s="1"/>
  <c r="E323" i="1" s="1"/>
  <c r="E322" i="1" s="1"/>
  <c r="E321" i="1" s="1"/>
  <c r="E320" i="1" s="1"/>
  <c r="E319" i="1" s="1"/>
  <c r="E318" i="1" s="1"/>
  <c r="E317" i="1" s="1"/>
  <c r="E316" i="1" s="1"/>
  <c r="E315" i="1" s="1"/>
  <c r="E314" i="1" s="1"/>
  <c r="E313" i="1" s="1"/>
  <c r="E312" i="1" s="1"/>
  <c r="E311" i="1" s="1"/>
  <c r="E310" i="1" s="1"/>
  <c r="E309" i="1" s="1"/>
  <c r="E308" i="1" s="1"/>
  <c r="E307" i="1" s="1"/>
  <c r="E306" i="1" s="1"/>
  <c r="E305" i="1" s="1"/>
  <c r="E304" i="1" s="1"/>
  <c r="E303" i="1" s="1"/>
  <c r="E302" i="1" s="1"/>
  <c r="E301" i="1" s="1"/>
  <c r="E300" i="1" s="1"/>
  <c r="E299" i="1" s="1"/>
  <c r="E298" i="1" s="1"/>
  <c r="E297" i="1" s="1"/>
  <c r="E296" i="1" s="1"/>
  <c r="E295" i="1" s="1"/>
  <c r="E294" i="1" s="1"/>
  <c r="E293" i="1" s="1"/>
  <c r="E292" i="1" s="1"/>
  <c r="E291" i="1" s="1"/>
  <c r="E290" i="1" s="1"/>
  <c r="E289" i="1" s="1"/>
  <c r="E288" i="1" s="1"/>
  <c r="E287" i="1" s="1"/>
  <c r="E286" i="1" s="1"/>
  <c r="E285" i="1" s="1"/>
  <c r="E284" i="1" s="1"/>
  <c r="E283" i="1" s="1"/>
  <c r="E282" i="1" s="1"/>
  <c r="E281" i="1" s="1"/>
  <c r="E280" i="1" s="1"/>
  <c r="E279" i="1" s="1"/>
  <c r="E278" i="1" s="1"/>
  <c r="E277" i="1" s="1"/>
  <c r="E276" i="1" s="1"/>
  <c r="E275" i="1" s="1"/>
  <c r="E274" i="1" s="1"/>
  <c r="E273" i="1" s="1"/>
  <c r="E272" i="1" s="1"/>
  <c r="E271" i="1" s="1"/>
  <c r="E270" i="1" s="1"/>
  <c r="E269" i="1" s="1"/>
  <c r="E268" i="1" s="1"/>
  <c r="E267" i="1" s="1"/>
  <c r="E266" i="1" s="1"/>
  <c r="E265" i="1" s="1"/>
  <c r="E264" i="1" s="1"/>
  <c r="E263" i="1" s="1"/>
  <c r="E262" i="1" s="1"/>
  <c r="E261" i="1" s="1"/>
  <c r="E260" i="1" s="1"/>
  <c r="E259" i="1" s="1"/>
  <c r="E258" i="1" s="1"/>
  <c r="E257" i="1" s="1"/>
  <c r="E256" i="1" s="1"/>
  <c r="E255" i="1" s="1"/>
  <c r="E254" i="1" s="1"/>
  <c r="E253" i="1" s="1"/>
  <c r="E252" i="1" s="1"/>
  <c r="E251" i="1" s="1"/>
  <c r="E250" i="1" s="1"/>
  <c r="E249" i="1" s="1"/>
  <c r="E248" i="1" s="1"/>
  <c r="E247" i="1" s="1"/>
  <c r="E246" i="1" s="1"/>
  <c r="E245" i="1" s="1"/>
  <c r="E244" i="1" s="1"/>
  <c r="E243" i="1" s="1"/>
  <c r="E242" i="1" s="1"/>
  <c r="E241" i="1" s="1"/>
  <c r="E240" i="1" s="1"/>
  <c r="E239" i="1" s="1"/>
  <c r="E238" i="1" s="1"/>
  <c r="E237" i="1" s="1"/>
  <c r="E236" i="1" s="1"/>
  <c r="E235" i="1" s="1"/>
  <c r="E234" i="1" s="1"/>
  <c r="E233" i="1" s="1"/>
  <c r="E232" i="1" s="1"/>
  <c r="E231" i="1" s="1"/>
  <c r="E230" i="1" s="1"/>
  <c r="E229" i="1" s="1"/>
  <c r="E228" i="1" s="1"/>
  <c r="E227" i="1" s="1"/>
  <c r="E226" i="1" s="1"/>
  <c r="E225" i="1" s="1"/>
  <c r="E224" i="1" s="1"/>
  <c r="E223" i="1" s="1"/>
  <c r="E222" i="1" s="1"/>
  <c r="E221" i="1" s="1"/>
  <c r="E220" i="1" s="1"/>
  <c r="E219" i="1" s="1"/>
  <c r="E218" i="1" s="1"/>
  <c r="E217" i="1" s="1"/>
  <c r="E216" i="1" s="1"/>
  <c r="E215" i="1" s="1"/>
  <c r="E214" i="1" s="1"/>
  <c r="E213" i="1" s="1"/>
  <c r="E212" i="1" s="1"/>
  <c r="E211" i="1" s="1"/>
  <c r="E210" i="1" s="1"/>
  <c r="E209" i="1" s="1"/>
  <c r="E208" i="1" s="1"/>
  <c r="E207" i="1" s="1"/>
  <c r="E206" i="1" s="1"/>
  <c r="E205" i="1" s="1"/>
  <c r="E204" i="1" s="1"/>
  <c r="E203" i="1" s="1"/>
  <c r="E202" i="1" s="1"/>
  <c r="E201" i="1" s="1"/>
  <c r="E200" i="1" s="1"/>
  <c r="E199" i="1" s="1"/>
  <c r="E198" i="1" s="1"/>
  <c r="E197" i="1" s="1"/>
  <c r="E196" i="1" s="1"/>
  <c r="E195" i="1" s="1"/>
  <c r="E194" i="1" s="1"/>
  <c r="E193" i="1" s="1"/>
  <c r="E192" i="1" s="1"/>
  <c r="E191" i="1" s="1"/>
  <c r="E190" i="1" s="1"/>
  <c r="E189" i="1" s="1"/>
  <c r="E188" i="1" s="1"/>
  <c r="E187" i="1" s="1"/>
  <c r="E186" i="1" s="1"/>
  <c r="E185" i="1" s="1"/>
  <c r="E184" i="1" s="1"/>
  <c r="E183" i="1" s="1"/>
  <c r="E182" i="1" s="1"/>
  <c r="E181" i="1" s="1"/>
  <c r="E180" i="1" s="1"/>
  <c r="E179" i="1" s="1"/>
  <c r="E178" i="1" s="1"/>
  <c r="E177" i="1" s="1"/>
  <c r="E176" i="1" s="1"/>
  <c r="E175" i="1" s="1"/>
  <c r="E174" i="1" s="1"/>
  <c r="E173" i="1" s="1"/>
  <c r="E172" i="1" s="1"/>
  <c r="E171" i="1" s="1"/>
  <c r="E170" i="1" s="1"/>
  <c r="E169" i="1" s="1"/>
  <c r="E168" i="1" s="1"/>
  <c r="E167" i="1" s="1"/>
  <c r="E166" i="1" s="1"/>
  <c r="E165" i="1" s="1"/>
  <c r="E164" i="1" s="1"/>
  <c r="E163" i="1" s="1"/>
  <c r="E162" i="1" s="1"/>
  <c r="E161" i="1" s="1"/>
  <c r="E160" i="1" s="1"/>
  <c r="E159" i="1" s="1"/>
  <c r="E158" i="1" s="1"/>
  <c r="E157" i="1" s="1"/>
  <c r="E156" i="1" s="1"/>
  <c r="E155" i="1" s="1"/>
  <c r="E154" i="1" s="1"/>
  <c r="E153" i="1" s="1"/>
  <c r="E152" i="1" s="1"/>
  <c r="E151" i="1" s="1"/>
  <c r="E150" i="1" s="1"/>
  <c r="E149" i="1" s="1"/>
  <c r="E148" i="1" s="1"/>
  <c r="E147" i="1" s="1"/>
  <c r="E146" i="1" s="1"/>
  <c r="E145" i="1" s="1"/>
  <c r="E144" i="1" s="1"/>
  <c r="E143" i="1" s="1"/>
  <c r="E142" i="1" s="1"/>
  <c r="E141" i="1" s="1"/>
  <c r="E140" i="1" s="1"/>
  <c r="E139" i="1" s="1"/>
  <c r="E138" i="1" s="1"/>
  <c r="E137" i="1" s="1"/>
  <c r="E136" i="1" s="1"/>
  <c r="E135" i="1" s="1"/>
  <c r="E134" i="1" s="1"/>
  <c r="E133" i="1" s="1"/>
  <c r="E132" i="1" s="1"/>
  <c r="E131" i="1" s="1"/>
  <c r="E130" i="1" s="1"/>
  <c r="E129" i="1" s="1"/>
  <c r="E128" i="1" s="1"/>
  <c r="E127" i="1" s="1"/>
  <c r="E126" i="1" s="1"/>
  <c r="E125" i="1" s="1"/>
  <c r="E124" i="1" s="1"/>
  <c r="E123" i="1" s="1"/>
  <c r="E122" i="1" s="1"/>
  <c r="E121" i="1" s="1"/>
  <c r="E120" i="1" s="1"/>
  <c r="E119" i="1" s="1"/>
  <c r="E118" i="1" s="1"/>
  <c r="E117" i="1" s="1"/>
  <c r="E116" i="1" s="1"/>
  <c r="E115" i="1" s="1"/>
  <c r="E114" i="1" s="1"/>
  <c r="E113" i="1" s="1"/>
  <c r="E112" i="1" s="1"/>
  <c r="E111" i="1" s="1"/>
  <c r="E110" i="1" s="1"/>
  <c r="E109" i="1" s="1"/>
  <c r="E108" i="1" s="1"/>
  <c r="E107" i="1" s="1"/>
  <c r="E106" i="1" s="1"/>
  <c r="E105" i="1" s="1"/>
  <c r="E104" i="1" s="1"/>
  <c r="E103" i="1" s="1"/>
  <c r="E102" i="1" s="1"/>
  <c r="E101" i="1" s="1"/>
  <c r="E100" i="1" s="1"/>
  <c r="E99" i="1" s="1"/>
  <c r="E98" i="1" s="1"/>
  <c r="E97" i="1" s="1"/>
  <c r="E96" i="1" s="1"/>
  <c r="E95" i="1" s="1"/>
  <c r="E94" i="1" s="1"/>
  <c r="E93" i="1" s="1"/>
  <c r="E92" i="1" s="1"/>
  <c r="E91" i="1" s="1"/>
  <c r="E90" i="1" s="1"/>
  <c r="E89" i="1" s="1"/>
  <c r="E88" i="1" s="1"/>
  <c r="E87" i="1" s="1"/>
  <c r="E86" i="1" s="1"/>
  <c r="E85" i="1" s="1"/>
  <c r="E84" i="1" s="1"/>
  <c r="E83" i="1" s="1"/>
  <c r="E82" i="1" s="1"/>
  <c r="E81" i="1" s="1"/>
  <c r="E80" i="1" s="1"/>
  <c r="E79" i="1" s="1"/>
  <c r="E78" i="1" s="1"/>
  <c r="E77" i="1" s="1"/>
  <c r="E76" i="1" s="1"/>
  <c r="E75" i="1" s="1"/>
  <c r="E74" i="1" s="1"/>
  <c r="E73" i="1" s="1"/>
  <c r="E72" i="1" s="1"/>
  <c r="E71" i="1" s="1"/>
  <c r="E70" i="1" s="1"/>
  <c r="E69" i="1" s="1"/>
  <c r="E68" i="1" s="1"/>
  <c r="E67" i="1" s="1"/>
  <c r="E66" i="1" s="1"/>
  <c r="E65" i="1" s="1"/>
  <c r="E64" i="1" s="1"/>
  <c r="E63" i="1" s="1"/>
  <c r="E62" i="1" s="1"/>
  <c r="E61" i="1" s="1"/>
  <c r="E60" i="1" s="1"/>
  <c r="E59" i="1" s="1"/>
  <c r="E58" i="1" s="1"/>
  <c r="E57" i="1" s="1"/>
  <c r="E56" i="1" s="1"/>
  <c r="E55" i="1" s="1"/>
  <c r="E54" i="1" s="1"/>
  <c r="E53" i="1" s="1"/>
  <c r="E52" i="1" s="1"/>
  <c r="E51" i="1" s="1"/>
  <c r="E50" i="1" s="1"/>
  <c r="E49" i="1" s="1"/>
  <c r="E48" i="1" s="1"/>
  <c r="E47" i="1" s="1"/>
  <c r="E46" i="1" s="1"/>
  <c r="E45" i="1" s="1"/>
  <c r="E44" i="1" s="1"/>
  <c r="E43" i="1" s="1"/>
  <c r="E42" i="1" s="1"/>
  <c r="E41" i="1" s="1"/>
  <c r="E40" i="1" s="1"/>
  <c r="E39" i="1" s="1"/>
  <c r="E38" i="1" s="1"/>
  <c r="E37" i="1" s="1"/>
  <c r="E36" i="1" s="1"/>
  <c r="E35" i="1" s="1"/>
  <c r="E34" i="1" s="1"/>
  <c r="E33" i="1" s="1"/>
  <c r="E32" i="1" s="1"/>
  <c r="E31" i="1" s="1"/>
  <c r="E30" i="1" s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G1" i="1"/>
  <c r="E6" i="1" l="1"/>
  <c r="E5" i="1" s="1"/>
  <c r="E4" i="1" s="1"/>
  <c r="E3" i="1" s="1"/>
  <c r="E2" i="1" s="1"/>
</calcChain>
</file>

<file path=xl/sharedStrings.xml><?xml version="1.0" encoding="utf-8"?>
<sst xmlns="http://schemas.openxmlformats.org/spreadsheetml/2006/main" count="1654" uniqueCount="803">
  <si>
    <t>Address</t>
  </si>
  <si>
    <t>Latitude, Longitude</t>
  </si>
  <si>
    <t>Marker Color</t>
  </si>
  <si>
    <t>blue</t>
  </si>
  <si>
    <t>green</t>
  </si>
  <si>
    <t>yellow</t>
  </si>
  <si>
    <t>red</t>
  </si>
  <si>
    <t>InfoWindow Content</t>
  </si>
  <si>
    <t>black</t>
  </si>
  <si>
    <t>darkGreen</t>
  </si>
  <si>
    <t>grey</t>
  </si>
  <si>
    <t>orange</t>
  </si>
  <si>
    <t>pink</t>
  </si>
  <si>
    <t>purple</t>
  </si>
  <si>
    <t>teal</t>
  </si>
  <si>
    <t>JSON Output</t>
  </si>
  <si>
    <t>Application filepath:</t>
  </si>
  <si>
    <t>Markers last updated:</t>
  </si>
  <si>
    <t>11501 Alterra Parkway Suite 200, Austin, TX</t>
  </si>
  <si>
    <t>101 Main Street, Cambridge, MA</t>
  </si>
  <si>
    <t>10201 Torre Avenue, Cupertino, CA</t>
  </si>
  <si>
    <t>150 W Jefferson Avenue, Detroit, MI</t>
  </si>
  <si>
    <t>13200 Woodland Park Road, Herndon, VA</t>
  </si>
  <si>
    <t>40 Pacifica #100, Irvine, CA</t>
  </si>
  <si>
    <t>323 N Washington Avenue, Minneapolis, MN</t>
  </si>
  <si>
    <t>7 W 34th Street, New York, NY</t>
  </si>
  <si>
    <t>2730 Sidney Street, Pittsburgh, PA</t>
  </si>
  <si>
    <t>188 Spear Street, San Francisco, CA</t>
  </si>
  <si>
    <t>1005 Monterey Street, San Luis Obispo, CA</t>
  </si>
  <si>
    <t>410 Terry Ave N, Seattle, WA</t>
  </si>
  <si>
    <t>8600 S Science Drive, Tempe, AZ</t>
  </si>
  <si>
    <t>Power Plant Road, Birmingham, AL</t>
  </si>
  <si>
    <t>6835 West Buckeye Road, Phoenix, AZ</t>
  </si>
  <si>
    <t>16920 W Commerce Drive, Goodyear, AZ</t>
  </si>
  <si>
    <t>4750 West Mohave Street, Phoenix, AZ</t>
  </si>
  <si>
    <t>5050 West Mohave Street, Phoenix, AZ</t>
  </si>
  <si>
    <t>800 N 75th Ave, Phoenix, AZ</t>
  </si>
  <si>
    <t>5333 W Lower Buckeye Road, Phoenix, AZ</t>
  </si>
  <si>
    <t>7037 West Van Buren Street, Phoenix, AZ</t>
  </si>
  <si>
    <t>6701 S. Kolb road, Tucson, AZ</t>
  </si>
  <si>
    <t>1910 E. Central Ave Building 3, San Bernardino, CA</t>
  </si>
  <si>
    <t>24208 San Michele Road, Moreno valley, CA</t>
  </si>
  <si>
    <t>2125 W San Bernardino Ave, Redlands, CA</t>
  </si>
  <si>
    <t>2417 E Carson Street, Long Beach, CA</t>
  </si>
  <si>
    <t>27517 Pionieer Ave, Redlands, CA</t>
  </si>
  <si>
    <t>5250 Goodman Way, Eastvale, CA</t>
  </si>
  <si>
    <t>5040 Goodman Way, Eastvale, CA</t>
  </si>
  <si>
    <t>4950 Goodman Way, Eastvale, CA</t>
  </si>
  <si>
    <t>20901 Krameria Avenue, Riverside, CA</t>
  </si>
  <si>
    <t>555 East Orange Road, San Bernardino, CA</t>
  </si>
  <si>
    <t>4900 W Elkhorn Boulevard, Sacremento, CA</t>
  </si>
  <si>
    <t>4723 S. B Street, Stockton, CA</t>
  </si>
  <si>
    <t>4532 Newcastle Road, Stockton, CA</t>
  </si>
  <si>
    <t>255 Park Center Drive, Patterson, CA</t>
  </si>
  <si>
    <t>1555 N. Chrisman Road, Tracy, CA</t>
  </si>
  <si>
    <t>188 Mountain House Parkway, Tracy, CA</t>
  </si>
  <si>
    <t>1909 Zephyr Street, Stockton, CA</t>
  </si>
  <si>
    <t>2496 West Walnut Ave, Rialto, CA</t>
  </si>
  <si>
    <t>1590 N Tamarind Ave, Rialto, CA</t>
  </si>
  <si>
    <t>3575 S Orange Ave, Fresno, CA</t>
  </si>
  <si>
    <t>Merle Haggard Drive, Bakersfield, CA</t>
  </si>
  <si>
    <t>14601 Grant Street, Thornton, CO</t>
  </si>
  <si>
    <t>24006 E. 19th Avenue, Aurora, CO</t>
  </si>
  <si>
    <t>200 Old Iron ore Road, Windsor, CT</t>
  </si>
  <si>
    <t>409 Washington Ave, North Haven, CT</t>
  </si>
  <si>
    <t>1 CenterPoint Boulevard, New Castle, DE</t>
  </si>
  <si>
    <t>560 Merrimac Ave, Middletown, DE</t>
  </si>
  <si>
    <t>3350 Laurel Ridge Ave, Ruskin, FL</t>
  </si>
  <si>
    <t>1760 County Line Road, Lakeland, FL</t>
  </si>
  <si>
    <t>901 W Landstreet Road, Orlando, FL</t>
  </si>
  <si>
    <t>12900 Pecan Park Road, Jacksonville, FL</t>
  </si>
  <si>
    <t>13333 103rd Street, Jacksonville, FL</t>
  </si>
  <si>
    <t>14000 NW 37th Ave, Opa-Locka, FL</t>
  </si>
  <si>
    <t>12340 Boggy Creek Road, Orlando, FL</t>
  </si>
  <si>
    <t>4200 North Commerce Drive, East Point, GA</t>
  </si>
  <si>
    <t>6855 Shannon Parkway, Union City, GA</t>
  </si>
  <si>
    <t>2201 Thornton Road, Lithia Springs, GA</t>
  </si>
  <si>
    <t>650 Broadway Ave, Braselton, GA</t>
  </si>
  <si>
    <t>808 Hog Mountain Road, Jefferson, GA</t>
  </si>
  <si>
    <t>7001 Skipper Road, Macon, GA</t>
  </si>
  <si>
    <t>2100 West Park Place Boulevard, Stone Mountain, GA</t>
  </si>
  <si>
    <t>East Franklin Road, Nampa, ID</t>
  </si>
  <si>
    <t>4255 Anson Boulevard, Whitestown, IN</t>
  </si>
  <si>
    <t>715 Airtech Parkway, Plainsfield, IN</t>
  </si>
  <si>
    <t>717 Airtech Parkway, Plainsfield, IN</t>
  </si>
  <si>
    <t>710 South Girls School Road, Indianapolis, IN</t>
  </si>
  <si>
    <t>800 South Perry Road, Plainfield, IN</t>
  </si>
  <si>
    <t>9101 Orly Drive, Indianapolis, IN</t>
  </si>
  <si>
    <t>6161 Decatur Boulevard, Indianapolis, IN</t>
  </si>
  <si>
    <t>900 Patrol Road, Jeffersonville, IN</t>
  </si>
  <si>
    <t>5460 Industrial Court, Whitestown, IN</t>
  </si>
  <si>
    <t>201 Emerald Drive, Joliet, IL</t>
  </si>
  <si>
    <t>3050 Gateway Commerce Center Drive South, Edwardsville, IL</t>
  </si>
  <si>
    <t>3931 Lakeview Corporate Drive, Edwardsville, IL</t>
  </si>
  <si>
    <t>1125 W Remington Boulevard, Romeoville, IL</t>
  </si>
  <si>
    <t>6605 W Monee Manhattan Road, Monee, IL</t>
  </si>
  <si>
    <t>1750 Bridge Drive, Waukegan, IL</t>
  </si>
  <si>
    <t>2865 Duke Parkway, Aurora, IL</t>
  </si>
  <si>
    <t>Route 59, Aurora, IL</t>
  </si>
  <si>
    <t>1935 Waverly Road, Gardner, KS</t>
  </si>
  <si>
    <t>6925 Riverview Ave, Kansas City, KS</t>
  </si>
  <si>
    <t>7968 Kentucky Drive, Florence, KY</t>
  </si>
  <si>
    <t>1155 Worldwide Boulevard, Hebron, KY</t>
  </si>
  <si>
    <t>1600 Worldwide Boulevard, Hebron, KY</t>
  </si>
  <si>
    <t>1850 Mercer Drive, Lexington, KY</t>
  </si>
  <si>
    <t>172 Trade Street, Lexington, KY</t>
  </si>
  <si>
    <t>1050 South Columbia Avenue, Campbellsville, KY</t>
  </si>
  <si>
    <t>4360 Robards Lane, Louisville, KY</t>
  </si>
  <si>
    <t>376 Zappos.com Boulevard, Shepherdsville, KY</t>
  </si>
  <si>
    <t>271 Omega Parkway, Shepherdsville, KY</t>
  </si>
  <si>
    <t>100 W. Thomas P. Echols Lane, Shepherdsville, KY</t>
  </si>
  <si>
    <t>4620 Olympic Boulevard, Erlanger, KY</t>
  </si>
  <si>
    <t>3521 Point Pleasant Road, Hebron, KY</t>
  </si>
  <si>
    <t>2010 Broening Highway, Baltimore, MD</t>
  </si>
  <si>
    <t>610 Chelsea Road, Aberdeen, MD</t>
  </si>
  <si>
    <t>600 Principio Parkway West, Cecil, North East, MD</t>
  </si>
  <si>
    <t>1700 Sparrows Point Boulevard, Sparrows Point, MD</t>
  </si>
  <si>
    <t>1180 Innovation Way, Fall River, MA</t>
  </si>
  <si>
    <t>39000 Amrhein Road, Livonia, MI</t>
  </si>
  <si>
    <t>32801 Ecorse Road, Romulus, MI</t>
  </si>
  <si>
    <t>50500 Mound Road, Shelby Township, MI</t>
  </si>
  <si>
    <t>68th &amp; Patterson Ave, Caledonia, MI</t>
  </si>
  <si>
    <t>2601 4th Ave E, Shakopee, MN</t>
  </si>
  <si>
    <t>9001 Wyoming Avve N, Brooklyn Park, MN</t>
  </si>
  <si>
    <t>4000 Premier Parkway, St Peters, MO</t>
  </si>
  <si>
    <t>3837 Bay Lake Trail, North Las Vegas, NV</t>
  </si>
  <si>
    <t>4550 Nexus Way, North Las Vegas, NV</t>
  </si>
  <si>
    <t>555 Milan Drive, Sparks, NV</t>
  </si>
  <si>
    <t>8000 North Virginia Street, Reno, NV</t>
  </si>
  <si>
    <t>Sloan Lane, North Las Vegas, NV</t>
  </si>
  <si>
    <t>50 New Canton Way, Robbinsville, NJ</t>
  </si>
  <si>
    <t>18 Applegate Drive, Robbinsville, NJ</t>
  </si>
  <si>
    <t>698 Route 46 West, Teterboro, NJ</t>
  </si>
  <si>
    <t>8003 Industrial Ave, Carteret, NJ</t>
  </si>
  <si>
    <t>2170 Lincoln Highway, Edison, NJ</t>
  </si>
  <si>
    <t>1101 E Pearl Street, Burlington, NJ</t>
  </si>
  <si>
    <t>22 Hightstown-Cranbury Station Road, Cranbury Township, NJ</t>
  </si>
  <si>
    <t>2651 Oldmans Creek Road, Logan Township, NJ</t>
  </si>
  <si>
    <t>240 Mantua Grove Road, West Deptford, NJ</t>
  </si>
  <si>
    <t>546 Gulf Ave, Staten Island, NY</t>
  </si>
  <si>
    <t>Interstate 90, Schodack, NY</t>
  </si>
  <si>
    <t>Highway 17k at International Boulevard, Montgomery, NY</t>
  </si>
  <si>
    <t>6500 Davidson Highway, Concord, NC</t>
  </si>
  <si>
    <t>Triad Business Park, Kernersville, NC</t>
  </si>
  <si>
    <t>Tuckaseegee Road &amp; Industrial Drive, Charlotte, NC</t>
  </si>
  <si>
    <t>4851 Jones Sausage Road, Garner, NC</t>
  </si>
  <si>
    <t>11903 National Road SW, Etna, OH</t>
  </si>
  <si>
    <t>6050 Gateway Court, Obetz, OH</t>
  </si>
  <si>
    <t>21500 Emery Road, Cuyahoga, OH</t>
  </si>
  <si>
    <t>700 Gateway Boulevard, Monroe, OH</t>
  </si>
  <si>
    <t>100 Euclid Square Mall, Euclid, OH</t>
  </si>
  <si>
    <t>US 40 and 29, West Jefferson, OH</t>
  </si>
  <si>
    <t>43rd Street North and 126th East Avenue, Tulsa, OK</t>
  </si>
  <si>
    <t>9201 S Portland Ave, Oklahoma City, OK</t>
  </si>
  <si>
    <t>1250 NW Swigert Way, Troutdale, OR</t>
  </si>
  <si>
    <t>4775 Depot Court SE, Salem, OR</t>
  </si>
  <si>
    <t>15000 N Lombard Street, Portland, OR</t>
  </si>
  <si>
    <t>705 Boulder Drive, Breinigsville, PA</t>
  </si>
  <si>
    <t>650 Boulder Drive, Breinigsville, PA</t>
  </si>
  <si>
    <t>298 1st Avenue, Gouldsboro, PA</t>
  </si>
  <si>
    <t>21 Roadway Drive, Carlisle, PA</t>
  </si>
  <si>
    <t>500 McCarthy Drive, Lewisberry, PA</t>
  </si>
  <si>
    <t>675 Allen Road, Carlisle, PA</t>
  </si>
  <si>
    <t>6455 Allentown Boulevard, Harrisburg, PA</t>
  </si>
  <si>
    <t>40 Logistics Drive, Carlisle, PA</t>
  </si>
  <si>
    <t>9645 West Hills Ct, Kutztown, PA</t>
  </si>
  <si>
    <t>2 Ames Drive, Carlisle, PA</t>
  </si>
  <si>
    <t>1610 Van Buren Road, Palmer Township, PA</t>
  </si>
  <si>
    <t>250 Enterprise Way, Pittston, PA</t>
  </si>
  <si>
    <t>2455 Boulevard of the Generals, Norristown, PA</t>
  </si>
  <si>
    <t>4400 12 Street Expansion, West Columbia, SC</t>
  </si>
  <si>
    <t>222 Old Wire Road, West Columbia, SC</t>
  </si>
  <si>
    <t>402 John Dodd Road, Spartanburg, SC</t>
  </si>
  <si>
    <t>14840 Central Pike, Lebanon, TN</t>
  </si>
  <si>
    <t>500 Duke Drive, Lebanon, TN</t>
  </si>
  <si>
    <t>2020 Joe B Jackson Parkway, Murfreesboro, TN</t>
  </si>
  <si>
    <t>7200 Discovery Drive, Chattanooga, TN</t>
  </si>
  <si>
    <t>225 Infinity Drive NW, Charleston, TN</t>
  </si>
  <si>
    <t>5155 Citation Drive, Memphis, TN</t>
  </si>
  <si>
    <t>940 W Bethel Road, Coppell, TX</t>
  </si>
  <si>
    <t>700 Westport Parkway, Fort Worth, TX</t>
  </si>
  <si>
    <t>15201 Heritage Parkway, Fort Worth, TX</t>
  </si>
  <si>
    <t>14900 Frye Road, Fort Worth, TX</t>
  </si>
  <si>
    <t>6000 Enterprise Avenue, Schertz, TX</t>
  </si>
  <si>
    <t>1401 East McCarty Lane, San Marcos, TX</t>
  </si>
  <si>
    <t>10550 Ella Boulevard, Houston, TX</t>
  </si>
  <si>
    <t>31819 Highway Boulevard, Katy, TX</t>
  </si>
  <si>
    <t>2701 W Bethel Road, Coppell, TX</t>
  </si>
  <si>
    <t>944 W Sandy Lake Road, Coppell, TX</t>
  </si>
  <si>
    <t>3351 Balmorhea Drive, Dallas, TX</t>
  </si>
  <si>
    <t>4121 International Parkway, Carrolton, TX</t>
  </si>
  <si>
    <t>1400 Southport Parkway, Wilmer, TX</t>
  </si>
  <si>
    <t>1301 Chalk Hill Road, Dallas, TX</t>
  </si>
  <si>
    <t>777 N 5600 West, Salt Lake City, UT</t>
  </si>
  <si>
    <t>5000 Commerce Way, Petersburg, VA</t>
  </si>
  <si>
    <t>1901 Meadowville Technology Parkway, Chester, VA</t>
  </si>
  <si>
    <t>165 Business Boulevard, Clear Brook, VA</t>
  </si>
  <si>
    <t>44301 Mercure Circle, Sterling, VA</t>
  </si>
  <si>
    <t>1800 140th Avenue E, Sumner, WA</t>
  </si>
  <si>
    <t>2700 Center Drive, DuPont, WA</t>
  </si>
  <si>
    <t>21005 64th Ave S, Kent, WA</t>
  </si>
  <si>
    <t>10010 W Geiger Boulevard, Spokane, WA</t>
  </si>
  <si>
    <t>3501 120th Ave, Kenosha, WI</t>
  </si>
  <si>
    <t>South 13th Street and West Ryan Road, Oak Creek, WI</t>
  </si>
  <si>
    <t>2020 E. Central Ave, San Bernardino, CA</t>
  </si>
  <si>
    <t>5119 District Blvd #100, Vernon, CA</t>
  </si>
  <si>
    <t>1555 N Chrisman Road, Tracy, CA</t>
  </si>
  <si>
    <t>38811 Cherry Street, Newark, CA</t>
  </si>
  <si>
    <t>480 E 55th Ave, Denver, CO</t>
  </si>
  <si>
    <t>3200 Northwest 67th Avenue, Miami, FL</t>
  </si>
  <si>
    <t>2232 Northmont Parkway, Duluth, GA</t>
  </si>
  <si>
    <t>1250 N Mittel Boulevard, Wood Dale, IL</t>
  </si>
  <si>
    <t>27200 West 157th Street, Johnson, KS</t>
  </si>
  <si>
    <t>23100 W 43rd Street, Shawnee, KS</t>
  </si>
  <si>
    <t>2285 Litton Lane, Hebron, KY</t>
  </si>
  <si>
    <t>201 Beacham Street, Everett, MA</t>
  </si>
  <si>
    <t>275 Omar Ave, Avenel, NJ</t>
  </si>
  <si>
    <t>380 Middlesex Ave, Carteret, NJ</t>
  </si>
  <si>
    <t>80 Grumman Road, Bethpage, NY</t>
  </si>
  <si>
    <t>4601 Gold Spike Drive, Fort Worth, TX</t>
  </si>
  <si>
    <t>2700 Regent Boulevard, Irving, TX</t>
  </si>
  <si>
    <t>45121 Global Plaza, Sterling, VA</t>
  </si>
  <si>
    <t>5617 Industrial Drive, Springfield, VA</t>
  </si>
  <si>
    <t>20202 84th Ave S, Kent, WA</t>
  </si>
  <si>
    <t>1901 140th Ave E, Sumner, WA</t>
  </si>
  <si>
    <t>6035 Giant Highway, Richmond, CA</t>
  </si>
  <si>
    <t>5000 Pacific Boulevard, Vernon, CA</t>
  </si>
  <si>
    <t>17900 East 32nd Avenue, Aurora, CO</t>
  </si>
  <si>
    <t>400 East Johnson Avenue, Cheshire, CT</t>
  </si>
  <si>
    <t>211 BDC Parkway, Braselton, GA</t>
  </si>
  <si>
    <t>720 E 111th Street, Chicago, IL</t>
  </si>
  <si>
    <t>15 Parker Street, Gloucester, MA</t>
  </si>
  <si>
    <t>1555 Cabin Branch Drive, Landover, MD</t>
  </si>
  <si>
    <t>1905 Clarkson Way, Hyattsville, MD</t>
  </si>
  <si>
    <t>840 Interchange Boulevard, Austin, TX</t>
  </si>
  <si>
    <t>4250 E Marginal Way South, Seattle, WA</t>
  </si>
  <si>
    <t>5980 1st Avenue South, Seattle, WA</t>
  </si>
  <si>
    <t>500 S 48th St, Phoenix, AZ</t>
  </si>
  <si>
    <t>888 Tennessee Street, San Francisco, CA</t>
  </si>
  <si>
    <t>2400 Marine Ave, Redondo Beach, CA</t>
  </si>
  <si>
    <t>11800 W Olympic Blvd, Santa Monica, CA</t>
  </si>
  <si>
    <t>2006 McCaw Ave, Irvine, CA</t>
  </si>
  <si>
    <t>Near South Vermont Ave &amp; Wilshire Blvd, Silver Lake, CA</t>
  </si>
  <si>
    <t>2727 Kurtz St, San Diego, CA</t>
  </si>
  <si>
    <t>222 Commercial Street, Sunnyvale, CA</t>
  </si>
  <si>
    <t>1000 Folger Ave., West Berkeley, CA</t>
  </si>
  <si>
    <t>2934 Ramona Avenue, Sacramento, CA</t>
  </si>
  <si>
    <t>3334 North San Fernando Road, Los Angeles, CA</t>
  </si>
  <si>
    <t>19799 E. 36th Avenue, Aurora, CO</t>
  </si>
  <si>
    <t>3550 Frontier Ave., Boulder, CO</t>
  </si>
  <si>
    <t>15600 NW 15th Ave, Miami Gardens, FL</t>
  </si>
  <si>
    <t>65/101 NE 23rd Street, Miami, FL</t>
  </si>
  <si>
    <t>4440 East Adamo Drive, Tampa, FL</t>
  </si>
  <si>
    <t>7469 Kingspointe Parkway, Orlando, FL</t>
  </si>
  <si>
    <t>2302 Marietta Boulevard NW, Atlanta, GA</t>
  </si>
  <si>
    <t>2160 Breckenridge Blvd Suite 100, Lawrenceville, GA</t>
  </si>
  <si>
    <t>1111 N. Cherry Ave., Chicago, IL</t>
  </si>
  <si>
    <t>1250 N. Mittel Blvd, Wood Dale, IL</t>
  </si>
  <si>
    <t>5001 Holabird Ave., Baltimore, MD</t>
  </si>
  <si>
    <t>30 Northampton Street, Boston, MA</t>
  </si>
  <si>
    <t>19991 Brownstown Center Drive, Trenton, MI</t>
  </si>
  <si>
    <t>763 Kasota Ave., Minneapolis, MN</t>
  </si>
  <si>
    <t>3650 East Post Road, Suite E. Las Vegas, NV</t>
  </si>
  <si>
    <t>7 W. 34th St., New York, NY</t>
  </si>
  <si>
    <t>501 2nd Avenue, Brooklyn, NY</t>
  </si>
  <si>
    <t>940 Monroe Street, Hoboken, NJ</t>
  </si>
  <si>
    <t>300 Dalton Avenue, Charlotte, NC</t>
  </si>
  <si>
    <t>3200 Bush Street, Raleigh, NC</t>
  </si>
  <si>
    <t>5845 Highland Ridge Drive, Cincinnati, OH</t>
  </si>
  <si>
    <t>3563 Interchange Road, Columbus, OH</t>
  </si>
  <si>
    <t>2250 Northwest 22nd Avenue, Portland, OR</t>
  </si>
  <si>
    <t>4100 Chestnut Street, Philadelphia, PA</t>
  </si>
  <si>
    <t>410 Harding Industrial Drive, Nashville, TN</t>
  </si>
  <si>
    <t>2700 Regent Blvd, Irving, TX</t>
  </si>
  <si>
    <t>2209 B Rutland Rd, Austin, TX</t>
  </si>
  <si>
    <t>4221 Way Out West Drive, Houston, TX</t>
  </si>
  <si>
    <t>6627 Maple Avenue, Dallas, TX</t>
  </si>
  <si>
    <t>4848 Perrin Creek, San Antonio, TX</t>
  </si>
  <si>
    <t>5617 Industrial Dr, Springfield, VA</t>
  </si>
  <si>
    <t>804 Greenbrier Circle, Chesapeake, VA</t>
  </si>
  <si>
    <t>2263 Dabney Road, Richmond, VA</t>
  </si>
  <si>
    <t>11710 118th Ave. N.E. , Kirkland, WA</t>
  </si>
  <si>
    <t>13537 Aurora Ave. N., North Seattle, WA</t>
  </si>
  <si>
    <t>2121 8th Ave., Seattle, WA</t>
  </si>
  <si>
    <t>76 S Lander St., Seattle, WA</t>
  </si>
  <si>
    <t>1926 6th Ave. S., Seattle, WA</t>
  </si>
  <si>
    <t>4111 W Mitchell Street, Milwaukee, WI</t>
  </si>
  <si>
    <t>24300 Nandina Ave, Moreno Valley, CA</t>
  </si>
  <si>
    <t>1568 N Linden Ave, Rialto, CA</t>
  </si>
  <si>
    <t>250 Emerald Drive, Joliet, IL</t>
  </si>
  <si>
    <t>Allen Road, Greenwood, IN</t>
  </si>
  <si>
    <t>3680 Langley Drive, Hebron, KY</t>
  </si>
  <si>
    <t>309 Cedar Lane, Florence, NJ</t>
  </si>
  <si>
    <t>10240 Old Dowd Road, Charlotte, NC</t>
  </si>
  <si>
    <t>550 Oak Ridge road, Hazleton, PA</t>
  </si>
  <si>
    <t>3282 E Holmes Road, Memphis, TN</t>
  </si>
  <si>
    <t>33333 Lyndon B. Johnson Freeway, Dallas, TX</t>
  </si>
  <si>
    <t>6735 Trippel Road, Theodore, AL</t>
  </si>
  <si>
    <t>800 N. 75th Ave, Phoenix, AZ</t>
  </si>
  <si>
    <t>2020 E. Central Ave., San Bernardino, CA</t>
  </si>
  <si>
    <t>6400 Valley View Street, Bueno Park, CA</t>
  </si>
  <si>
    <t>300 Crocker Drive, Vacaville, CA</t>
  </si>
  <si>
    <t>29 Research Parkway, Wallingford, CT</t>
  </si>
  <si>
    <t>305 Deen Still Road , Davenport, FL</t>
  </si>
  <si>
    <t>1900 NW 132nd Place , Miami, FL</t>
  </si>
  <si>
    <t>4948 Bulls Bay Highway, Jacksonville, FL</t>
  </si>
  <si>
    <t>4190 Jiles Road, Kennesaw, GA</t>
  </si>
  <si>
    <t>235 Hog Mountain Road, Jefferson, GA</t>
  </si>
  <si>
    <t>16824 Enterprise Blvd., Crest Hill, IL</t>
  </si>
  <si>
    <t>16851 W 113th St, Lenexa, KS</t>
  </si>
  <si>
    <t>2305 Litton Lane, Hebron, KY</t>
  </si>
  <si>
    <t>2939 Terminal Drive, Hebron, KY</t>
  </si>
  <si>
    <t>1000 Technology Center Drive, Stoughton, MA</t>
  </si>
  <si>
    <t>5825 11th Ave. East, Shakopee, MN</t>
  </si>
  <si>
    <t>462 Hazelwood Logistics Center Drive, Hazelwood, MO</t>
  </si>
  <si>
    <t>2277 Center Square Rd , Logan Township, NJ</t>
  </si>
  <si>
    <t>301 Blair Road #100, Woodbridge, NJ</t>
  </si>
  <si>
    <t>4410 Nexus Way, Las Vegas, NV</t>
  </si>
  <si>
    <t>4201 Walden Avenue, Lancaster, NY</t>
  </si>
  <si>
    <t>1745 Derita Rd, Concord, NC</t>
  </si>
  <si>
    <t>1805 -RN Alexander Drive, Durham, NC</t>
  </si>
  <si>
    <t>8685 Independence Parkway, Twinsburg, OH</t>
  </si>
  <si>
    <t>1414 S. Council Road, Oklahoma City, OK</t>
  </si>
  <si>
    <t>5647 NW Huffman Street, Washington, OR</t>
  </si>
  <si>
    <t>2250 Roswell Drive, Pittsburgh, PA</t>
  </si>
  <si>
    <t>50 Airways Blvd. , Nashville, TN</t>
  </si>
  <si>
    <t>8120 Humble Westfield Rd, Humble, TX</t>
  </si>
  <si>
    <t>1410 S. Callaghan Road, Bexar, TX</t>
  </si>
  <si>
    <t>1901 Meadowille Technology Parkway, Chesterfield, VA</t>
  </si>
  <si>
    <t>11500 N. Lakeridge Parkway, Ashland, VA</t>
  </si>
  <si>
    <t>20529 59th Place South, Kent, WA</t>
  </si>
  <si>
    <t>11211 Burlington Road, Kenosha, WI</t>
  </si>
  <si>
    <t>500 S. 48th Street, Phoenix, AZ</t>
  </si>
  <si>
    <t>550 E. Elliot Rd, Chandler, AZ</t>
  </si>
  <si>
    <t>1920 N. Locust St., North Little Rock, AR</t>
  </si>
  <si>
    <t>990 Beecher St, San Leandro, CA</t>
  </si>
  <si>
    <t>1700 Montague Expy, San Jose, CA</t>
  </si>
  <si>
    <t>100-172 Washington Ave, San Leandro, CA</t>
  </si>
  <si>
    <t>250 Utah Avenue, South San Francisco, CA</t>
  </si>
  <si>
    <t>6015 Giant Road, Richmond, CA</t>
  </si>
  <si>
    <t>16550 Via Esprillo, San Diego, CA</t>
  </si>
  <si>
    <t>2777 Loker Ave W, Carlsbad, CA</t>
  </si>
  <si>
    <t>901 Bay Marina Dr, , CA</t>
  </si>
  <si>
    <t>711 University Ave., San Diego, CA</t>
  </si>
  <si>
    <t>900 W Florence Ave, Inglewood, CA</t>
  </si>
  <si>
    <t>5650 Dolly Ave, Buena Park, CA</t>
  </si>
  <si>
    <t>5829 Smithway St, Commerce, CA</t>
  </si>
  <si>
    <t>9031 Lurline Ave, Chatsworth, CA</t>
  </si>
  <si>
    <t>6250 Sycamore Canyon Blvd., Riverside, CA</t>
  </si>
  <si>
    <t>15940 Euclid Avenue, Chino, CA</t>
  </si>
  <si>
    <t>2815 W. El Segundo Blvd., Hawthorne, CA</t>
  </si>
  <si>
    <t>17871 Von Karman Ave, Irvine, CA</t>
  </si>
  <si>
    <t>4185 Temple City Blvd., Rosemead, CA</t>
  </si>
  <si>
    <t>1000 Riverside Pkwy, West Sacramento, CA</t>
  </si>
  <si>
    <t>2403 W. Louise Ave., Manteca, CA</t>
  </si>
  <si>
    <t>2595 Conejo Spectrum Street, Thousand Oaks, CA</t>
  </si>
  <si>
    <t>229 Industrial Park, Bristol, CT</t>
  </si>
  <si>
    <t>101 NE 23rd Street, Miami, FL</t>
  </si>
  <si>
    <t>73 Kingspointe Pkwy, Orlando, FL</t>
  </si>
  <si>
    <t>11084 Cabot Commerce Circle, Jacksonville, FL</t>
  </si>
  <si>
    <t>2906 Corporate Way, Palmetto, FL</t>
  </si>
  <si>
    <t>8824 E Adamo Dr, Tampa, FL</t>
  </si>
  <si>
    <t>9900 18th Street N, St. Petersburg, FL</t>
  </si>
  <si>
    <t>4800 Highlands Pkwy SE, Smyrna, GA</t>
  </si>
  <si>
    <t>2801 S. Western Ave, Chicago, IL</t>
  </si>
  <si>
    <t>8290 Austin Ave, Morton Grove, IL</t>
  </si>
  <si>
    <t>4500 Western Ave, Lisle, IL</t>
  </si>
  <si>
    <t>401 Terrace Dr., Mundelein, IL</t>
  </si>
  <si>
    <t>2901 Boardwalk Drive, Champaign, IL</t>
  </si>
  <si>
    <t>5850 W 80th St, Indianapolis, IN</t>
  </si>
  <si>
    <t>7230 Global Drive, Louisville, KY</t>
  </si>
  <si>
    <t>10021 Professional Blvd., Baton Rouge, LA</t>
  </si>
  <si>
    <t>86 Alco PI # 98, Lansdowne, MD</t>
  </si>
  <si>
    <t>7458 New Ridge Rd, Hanover, MD</t>
  </si>
  <si>
    <t>861 E Gude Drive, Rockville, MD</t>
  </si>
  <si>
    <t>500 Sprague St., Dedham, MA</t>
  </si>
  <si>
    <t>8 Industrial Rd., Milford, MA</t>
  </si>
  <si>
    <t>175 Campanelli Drive, Braintree, MA</t>
  </si>
  <si>
    <t>1400 E 10 Mile Road, Hazel Park, MI</t>
  </si>
  <si>
    <t>2811 Beverly Drive , Eagan, MN</t>
  </si>
  <si>
    <t xml:space="preserve"> 441 Hazelwood Logistics Center Drive, Hazelwood, MO</t>
  </si>
  <si>
    <t>3165 W. Sunset Rd, Las Vegas, NV</t>
  </si>
  <si>
    <t>10 State Street, Nashua, NH</t>
  </si>
  <si>
    <t>2 Empire Boulevard, Moonachie, NJ</t>
  </si>
  <si>
    <t>850 Third Avenue, Brooklyn, NY</t>
  </si>
  <si>
    <t>630 Sullivan Rd, Elizabeth, NJ</t>
  </si>
  <si>
    <t>75 Cohoes Ave., Green Island Village, NY</t>
  </si>
  <si>
    <t>201 Grumman road W., Bethpage, NY</t>
  </si>
  <si>
    <t>330 Clay Road, Rochester, NY</t>
  </si>
  <si>
    <t>3830 Parrott Drive, Charlotte, NC</t>
  </si>
  <si>
    <t>4250 Port Union Rd, Fairfield, OH</t>
  </si>
  <si>
    <t>26555 Bluestone Blvd., Euclid, OH</t>
  </si>
  <si>
    <t>4401 E Hefner Road, Oklahoma City, OK</t>
  </si>
  <si>
    <t>3610 NW St Helens Rd, Portland, OR</t>
  </si>
  <si>
    <t>4219 Richmond Street, Philadelphia, PA</t>
  </si>
  <si>
    <t>500 American Avenue, King of Prussia, PA</t>
  </si>
  <si>
    <t>2251 Cabot Blvd W, Langhorne, PA</t>
  </si>
  <si>
    <t>501 North Drive, Sewickley, PA</t>
  </si>
  <si>
    <t>9801 Highway 78, Ladson, SC</t>
  </si>
  <si>
    <t>Southerland Dr, Nashville, TN</t>
  </si>
  <si>
    <t>109 W. McLemore, Memphis, TN</t>
  </si>
  <si>
    <t>12401 North Stemmons Fwy, Farmers Branch, TX</t>
  </si>
  <si>
    <t>3838 W Miller Road, Garland, TX</t>
  </si>
  <si>
    <t>11720 N Lessner Rd, Houston, TX</t>
  </si>
  <si>
    <t>201 Commerce Center Drive West, West Valley City, UT</t>
  </si>
  <si>
    <t>4101 Carolina Avenue, Richmond, VA</t>
  </si>
  <si>
    <t>1920 Campostella Rd, Chesapeake, VA</t>
  </si>
  <si>
    <t>6705 East Marginal Way South, Seattle, WA</t>
  </si>
  <si>
    <t>6611 Associated Blvd, Everett, WA</t>
  </si>
  <si>
    <t>1101 SW 16th St, Renton, WA</t>
  </si>
  <si>
    <t>3935 W. Mitchell St., Milwaukee, WI</t>
  </si>
  <si>
    <t>N53 W24700 Corporate Circle, Sussex, WI</t>
  </si>
  <si>
    <t xml:space="preserve">	30.400981, -97.719182</t>
  </si>
  <si>
    <t xml:space="preserve">	42.362321	, -71.080738</t>
  </si>
  <si>
    <t xml:space="preserve">	37.319847	, -122.029873</t>
  </si>
  <si>
    <t xml:space="preserve">	42.328233	, -83.046367</t>
  </si>
  <si>
    <t xml:space="preserve">	38.954736	, -77.4043</t>
  </si>
  <si>
    <t xml:space="preserve">	33.65065	, -117.751723</t>
  </si>
  <si>
    <t xml:space="preserve">	44.984149	, -93.275018</t>
  </si>
  <si>
    <t xml:space="preserve">	40.749017	, -73.985299</t>
  </si>
  <si>
    <t xml:space="preserve">	40.427414	, -79.965835</t>
  </si>
  <si>
    <t xml:space="preserve">	37.791325	, -122.392971</t>
  </si>
  <si>
    <t xml:space="preserve">	35.281798	, -120.661125</t>
  </si>
  <si>
    <t xml:space="preserve">	47.622192	, -122.336546</t>
  </si>
  <si>
    <t xml:space="preserve">	33.338374	, -111.89711</t>
  </si>
  <si>
    <t xml:space="preserve">	33.606453	, -86.690986</t>
  </si>
  <si>
    <t xml:space="preserve">	33.433156	, -112.207478</t>
  </si>
  <si>
    <t xml:space="preserve">	33.411968	, -112.422068</t>
  </si>
  <si>
    <t xml:space="preserve">	33.433452	, -112.165053</t>
  </si>
  <si>
    <t xml:space="preserve">	33.432513	, -112.168113</t>
  </si>
  <si>
    <t xml:space="preserve">	33.457092	, -112.225362</t>
  </si>
  <si>
    <t xml:space="preserve">	33.422252	, -112.17439</t>
  </si>
  <si>
    <t xml:space="preserve">	33.450087	, -112.210081</t>
  </si>
  <si>
    <t xml:space="preserve">	32.129389	, -110.840959</t>
  </si>
  <si>
    <t xml:space="preserve">	34.088408	, -117.245839</t>
  </si>
  <si>
    <t xml:space="preserve">	33.872012	, -117.238073</t>
  </si>
  <si>
    <t xml:space="preserve">	34.075843	, -117.228294</t>
  </si>
  <si>
    <t xml:space="preserve">	33.83383	, -118.227529</t>
  </si>
  <si>
    <t xml:space="preserve">	34.080396	, -117.203176</t>
  </si>
  <si>
    <t xml:space="preserve">	33.999282	, -117.554641</t>
  </si>
  <si>
    <t xml:space="preserve">	33.998477	, -117.552887</t>
  </si>
  <si>
    <t xml:space="preserve">	33.881021	, -117.300358</t>
  </si>
  <si>
    <t xml:space="preserve">	34.077519	, -117.272566</t>
  </si>
  <si>
    <t xml:space="preserve">	38.682511	, -121.574335</t>
  </si>
  <si>
    <t xml:space="preserve">	37.902737	, -121.240943</t>
  </si>
  <si>
    <t xml:space="preserve">	37.908617	, -121.202273</t>
  </si>
  <si>
    <t xml:space="preserve">	37.468171	, -121.1677</t>
  </si>
  <si>
    <t xml:space="preserve">	37.745404	, -121.404442</t>
  </si>
  <si>
    <t xml:space="preserve">	37.751017	, -121.531715</t>
  </si>
  <si>
    <t xml:space="preserve">	37.91783	, -121.250833</t>
  </si>
  <si>
    <t xml:space="preserve">	34.131011	, -117.422233</t>
  </si>
  <si>
    <t xml:space="preserve">	34.127088	, -117.42517</t>
  </si>
  <si>
    <t xml:space="preserve">	36.683607	, -119.763802</t>
  </si>
  <si>
    <t xml:space="preserve">	35.441357	, -119.051696</t>
  </si>
  <si>
    <t xml:space="preserve">	39.957796	, -104.984415</t>
  </si>
  <si>
    <t xml:space="preserve">	39.742433	, -104.707781</t>
  </si>
  <si>
    <t xml:space="preserve">	41.87896	, -72.705075</t>
  </si>
  <si>
    <t xml:space="preserve">	41.409145	, -72.843821</t>
  </si>
  <si>
    <t xml:space="preserve">	39.663845	, -75.590072</t>
  </si>
  <si>
    <t xml:space="preserve">	39.439055	, -75.733376</t>
  </si>
  <si>
    <t xml:space="preserve">	27.72721	, -82.38732</t>
  </si>
  <si>
    <t xml:space="preserve">	28.020246	, -82.053994</t>
  </si>
  <si>
    <t xml:space="preserve">	28.438199	, -81.390591</t>
  </si>
  <si>
    <t xml:space="preserve">	30.465166	, -81.675553</t>
  </si>
  <si>
    <t xml:space="preserve">	30.248559	, -81.863587</t>
  </si>
  <si>
    <t xml:space="preserve">	25.900624	, -80.260608</t>
  </si>
  <si>
    <t xml:space="preserve">	28.385113	, -81.314501</t>
  </si>
  <si>
    <t xml:space="preserve">	33.643523	, -84.500223</t>
  </si>
  <si>
    <t xml:space="preserve">	33.569147	, -84.539352</t>
  </si>
  <si>
    <t xml:space="preserve">	33.744463	, -84.592467</t>
  </si>
  <si>
    <t xml:space="preserve">	34.107231	, -83.774683</t>
  </si>
  <si>
    <t xml:space="preserve">	34.159671	, -83.630758</t>
  </si>
  <si>
    <t xml:space="preserve">	32.719599	, -83.723156</t>
  </si>
  <si>
    <t xml:space="preserve">	33.818063	, -84.119316</t>
  </si>
  <si>
    <t xml:space="preserve">	43.605009	, -116.496403</t>
  </si>
  <si>
    <t xml:space="preserve">	39.981418	, -86.376551</t>
  </si>
  <si>
    <t xml:space="preserve">	39.699853	, -86.343726</t>
  </si>
  <si>
    <t xml:space="preserve">	39.708029	, -86.345684</t>
  </si>
  <si>
    <t xml:space="preserve">	39.755716	, -86.290122</t>
  </si>
  <si>
    <t xml:space="preserve">	39.694807	, -86.358455</t>
  </si>
  <si>
    <t xml:space="preserve">	39.674792	, -86.32595</t>
  </si>
  <si>
    <t xml:space="preserve">	39.671919	, -86.304594</t>
  </si>
  <si>
    <t xml:space="preserve">	38.381645	, -85.687788</t>
  </si>
  <si>
    <t xml:space="preserve">	39.96545	, -86.381139</t>
  </si>
  <si>
    <t xml:space="preserve">	41.487896	, -88.07199</t>
  </si>
  <si>
    <t xml:space="preserve">	38.772402	, -90.040902</t>
  </si>
  <si>
    <t xml:space="preserve">	38.784073	, -90.077074</t>
  </si>
  <si>
    <t xml:space="preserve">	41.672764	, -88.11551</t>
  </si>
  <si>
    <t xml:space="preserve">	41.426536	, -87.772819</t>
  </si>
  <si>
    <t xml:space="preserve">	42.328852	, -87.901938</t>
  </si>
  <si>
    <t xml:space="preserve">	41.815723	, -88.211328</t>
  </si>
  <si>
    <t xml:space="preserve">	41.7592	, -88.206087</t>
  </si>
  <si>
    <t xml:space="preserve">	38.814616	, -94.945879</t>
  </si>
  <si>
    <t xml:space="preserve">	39.098366	, -94.739474</t>
  </si>
  <si>
    <t xml:space="preserve">	38.982761	, -84.629517</t>
  </si>
  <si>
    <t xml:space="preserve">	39.083413	, -84.713857</t>
  </si>
  <si>
    <t xml:space="preserve">	39.087394	, -84.725757</t>
  </si>
  <si>
    <t xml:space="preserve">	38.075996	, -84.533687</t>
  </si>
  <si>
    <t xml:space="preserve">	38.075437	, -84.550065</t>
  </si>
  <si>
    <t xml:space="preserve">	37.328126	, -85.351209</t>
  </si>
  <si>
    <t xml:space="preserve">	38.194932	, -85.69265</t>
  </si>
  <si>
    <t xml:space="preserve">	37.982205	, -85.683936</t>
  </si>
  <si>
    <t xml:space="preserve">	37.973152	, -85.683515</t>
  </si>
  <si>
    <t xml:space="preserve">	37.983035	, -85.687075</t>
  </si>
  <si>
    <t xml:space="preserve">	39.04388	, -84.619353</t>
  </si>
  <si>
    <t xml:space="preserve">	39.056299	, -84.640452</t>
  </si>
  <si>
    <t xml:space="preserve">	39.267217	, -76.549184</t>
  </si>
  <si>
    <t xml:space="preserve">	39.436075	, -76.2162</t>
  </si>
  <si>
    <t xml:space="preserve">	39.594521	, -76.003736</t>
  </si>
  <si>
    <t xml:space="preserve">	39.594521	, -76.003737</t>
  </si>
  <si>
    <t xml:space="preserve">	39.594521	, -76.003738</t>
  </si>
  <si>
    <t xml:space="preserve">	42.374384	, -83.427564</t>
  </si>
  <si>
    <t xml:space="preserve">	42.252436	, -83.362562</t>
  </si>
  <si>
    <t xml:space="preserve">	42.667323	, -83.048589</t>
  </si>
  <si>
    <t xml:space="preserve">	42.840627	, -85.545687</t>
  </si>
  <si>
    <t xml:space="preserve">	44.797695	, -93.486347</t>
  </si>
  <si>
    <t xml:space="preserve">	45.120188	, -93.385036</t>
  </si>
  <si>
    <t xml:space="preserve">	38.809592	, -90.573827</t>
  </si>
  <si>
    <t xml:space="preserve">	36.22878	, -115.105535</t>
  </si>
  <si>
    <t xml:space="preserve">	36.26688	, -115.0744</t>
  </si>
  <si>
    <t xml:space="preserve">	39.551514	, -119.454131</t>
  </si>
  <si>
    <t xml:space="preserve">	39.603749	, -119.848613</t>
  </si>
  <si>
    <t xml:space="preserve">	36.184821	, -115.0438</t>
  </si>
  <si>
    <t xml:space="preserve">	40.195624	, -74.565155</t>
  </si>
  <si>
    <t xml:space="preserve">	40.202861	, -74.578182</t>
  </si>
  <si>
    <t xml:space="preserve">	40.864531	, -74.058243</t>
  </si>
  <si>
    <t xml:space="preserve">	40.595238	, -74.224901</t>
  </si>
  <si>
    <t xml:space="preserve">	40.528464	, -74.380935</t>
  </si>
  <si>
    <t xml:space="preserve">	40.085263	, -74.840821</t>
  </si>
  <si>
    <t xml:space="preserve">	40.292462	, -74.502229</t>
  </si>
  <si>
    <t xml:space="preserve">	39.754213	, -75.379252</t>
  </si>
  <si>
    <t xml:space="preserve">	39.823776	, -75.217192</t>
  </si>
  <si>
    <t xml:space="preserve">	40.614421	, -74.179738</t>
  </si>
  <si>
    <t xml:space="preserve">	42.519633	, -73.688876</t>
  </si>
  <si>
    <t xml:space="preserve">	41.526094	, -74.134304</t>
  </si>
  <si>
    <t xml:space="preserve">	35.436965	, -80.686389</t>
  </si>
  <si>
    <t xml:space="preserve">	36.103901	, -80.064899</t>
  </si>
  <si>
    <t xml:space="preserve">	35.245149	, -80.917656</t>
  </si>
  <si>
    <t xml:space="preserve">	35.716041	, -78.588259</t>
  </si>
  <si>
    <t xml:space="preserve">	39.954081	, -82.713262</t>
  </si>
  <si>
    <t xml:space="preserve">	39.883824	, -82.934612</t>
  </si>
  <si>
    <t xml:space="preserve">	41.435052	, -81.5285</t>
  </si>
  <si>
    <t xml:space="preserve">	39.430513	, -84.324326</t>
  </si>
  <si>
    <t xml:space="preserve">	41.597284	, -81.503845</t>
  </si>
  <si>
    <t xml:space="preserve">	39.942808	, -83.306538</t>
  </si>
  <si>
    <t xml:space="preserve">	36.217455	, -95.847553</t>
  </si>
  <si>
    <t xml:space="preserve">	35.374029	, -97.578192</t>
  </si>
  <si>
    <t xml:space="preserve">	45.55389	, -122.39969</t>
  </si>
  <si>
    <t xml:space="preserve">	44.902593	, -122.961474</t>
  </si>
  <si>
    <t xml:space="preserve">	45.63365	, -122.771597</t>
  </si>
  <si>
    <t xml:space="preserve">	40.558397	, -75.613898</t>
  </si>
  <si>
    <t xml:space="preserve">	40.556289	, -75.621695</t>
  </si>
  <si>
    <t xml:space="preserve">	41.265538	, -75.498086</t>
  </si>
  <si>
    <t xml:space="preserve">	40.226746	, -77.113228</t>
  </si>
  <si>
    <t xml:space="preserve">	40.171393	, -76.837139</t>
  </si>
  <si>
    <t xml:space="preserve">	40.175261	, -77.231534</t>
  </si>
  <si>
    <t xml:space="preserve">	40.325288	, -76.772454</t>
  </si>
  <si>
    <t xml:space="preserve">	40.189347	, -77.225738</t>
  </si>
  <si>
    <t xml:space="preserve">	40.584837	, -75.698865</t>
  </si>
  <si>
    <t xml:space="preserve">	40.166347	, -77.241679</t>
  </si>
  <si>
    <t xml:space="preserve">	40.740328	, -75.277411</t>
  </si>
  <si>
    <t xml:space="preserve">	41.313029	, -75.770971</t>
  </si>
  <si>
    <t xml:space="preserve">	40.124567	, -75.397505</t>
  </si>
  <si>
    <t xml:space="preserve">	33.911244	, -81.05028</t>
  </si>
  <si>
    <t xml:space="preserve">	33.895101	, -81.039167</t>
  </si>
  <si>
    <t xml:space="preserve">	35.007777	, -82.034862</t>
  </si>
  <si>
    <t xml:space="preserve">	36.132973	, -86.405575</t>
  </si>
  <si>
    <t xml:space="preserve">	36.118774	, -86.409988</t>
  </si>
  <si>
    <t xml:space="preserve">	35.77765	, -86.36397</t>
  </si>
  <si>
    <t xml:space="preserve">	35.068898	, -85.141641</t>
  </si>
  <si>
    <t xml:space="preserve">	35.282801	, -84.812961</t>
  </si>
  <si>
    <t xml:space="preserve">	35.008146	, -89.909261</t>
  </si>
  <si>
    <t xml:space="preserve">	32.958606	, -97.016916</t>
  </si>
  <si>
    <t xml:space="preserve">	32.97053	, -97.335758</t>
  </si>
  <si>
    <t xml:space="preserve">	33.002529	, -97.295562</t>
  </si>
  <si>
    <t xml:space="preserve">	32.818379	, -97.04308</t>
  </si>
  <si>
    <t xml:space="preserve">	29.599737	, -98.291022</t>
  </si>
  <si>
    <t xml:space="preserve">	29.837538	, -97.963032</t>
  </si>
  <si>
    <t xml:space="preserve">	29.934274	, -95.428766</t>
  </si>
  <si>
    <t xml:space="preserve">	29.786061	, -95.889611</t>
  </si>
  <si>
    <t xml:space="preserve">	32.953463	, -97.026549</t>
  </si>
  <si>
    <t xml:space="preserve">	32.975525	, -97.021283</t>
  </si>
  <si>
    <t xml:space="preserve">	32.634497	, -96.768645</t>
  </si>
  <si>
    <t xml:space="preserve">	33.020646	, -96.849003</t>
  </si>
  <si>
    <t xml:space="preserve">	32.657783	, -96.828538</t>
  </si>
  <si>
    <t xml:space="preserve">	32.760354	, -96.90231</t>
  </si>
  <si>
    <t xml:space="preserve">	40.786907	, -112.025318</t>
  </si>
  <si>
    <t xml:space="preserve">	37.194767	, -77.492782</t>
  </si>
  <si>
    <t xml:space="preserve">	37.352017	, -77.327058</t>
  </si>
  <si>
    <t xml:space="preserve">	39.290168	, -78.081245</t>
  </si>
  <si>
    <t xml:space="preserve">	38.984968	, -77.472427</t>
  </si>
  <si>
    <t xml:space="preserve">	47.240898	, -122.243318</t>
  </si>
  <si>
    <t xml:space="preserve">	47.112429	, -122.638532</t>
  </si>
  <si>
    <t xml:space="preserve">	47.414339	, -122.257347</t>
  </si>
  <si>
    <t xml:space="preserve">	47.598786	, -117.552311</t>
  </si>
  <si>
    <t xml:space="preserve">	42.607425	, -87.949931</t>
  </si>
  <si>
    <t xml:space="preserve">	42.872353	, -87.93247</t>
  </si>
  <si>
    <t xml:space="preserve">	34.090073	, -117.241523</t>
  </si>
  <si>
    <t xml:space="preserve">	33.992907	, -118.182084</t>
  </si>
  <si>
    <t xml:space="preserve">	37.520584	, -122.014483</t>
  </si>
  <si>
    <t xml:space="preserve">	39.796424	, -104.979993</t>
  </si>
  <si>
    <t xml:space="preserve">	25.811364	, -80.306512</t>
  </si>
  <si>
    <t xml:space="preserve">	33.975676	, -84.11432</t>
  </si>
  <si>
    <t xml:space="preserve">	41.987122	, -87.987525</t>
  </si>
  <si>
    <t xml:space="preserve">	38.844986	, -94.901498</t>
  </si>
  <si>
    <t xml:space="preserve">	39.050539	, -94.853114</t>
  </si>
  <si>
    <t xml:space="preserve">	39.074752	, -84.718275</t>
  </si>
  <si>
    <t xml:space="preserve">	42.393546	, -71.053677</t>
  </si>
  <si>
    <t xml:space="preserve">	40.583773	, -74.255473</t>
  </si>
  <si>
    <t xml:space="preserve">	40.564342	, -74.221234</t>
  </si>
  <si>
    <t xml:space="preserve">	40.743363	, -73.490325</t>
  </si>
  <si>
    <t xml:space="preserve">	32.828378	, -97.354617</t>
  </si>
  <si>
    <t xml:space="preserve">	32.939376	, -97.028674</t>
  </si>
  <si>
    <t xml:space="preserve">	38.986054	, -77.439848</t>
  </si>
  <si>
    <t xml:space="preserve">	38.798621	, -77.169546</t>
  </si>
  <si>
    <t xml:space="preserve">	47.419696	, -122.226719</t>
  </si>
  <si>
    <t xml:space="preserve">	47.240287	, -122.239317</t>
  </si>
  <si>
    <t xml:space="preserve">	37.999333	, -122.344866</t>
  </si>
  <si>
    <t xml:space="preserve">	33.998738	, -118.224827</t>
  </si>
  <si>
    <t xml:space="preserve">	39.758447	, -104.777801</t>
  </si>
  <si>
    <t xml:space="preserve">	41.552848	, -72.873895</t>
  </si>
  <si>
    <t xml:space="preserve">	34.102316	, -83.776839</t>
  </si>
  <si>
    <t xml:space="preserve">	41.696813	, -87.601391</t>
  </si>
  <si>
    <t xml:space="preserve">	42.615673	, -70.650771</t>
  </si>
  <si>
    <t xml:space="preserve">	38.91128	, -76.9029</t>
  </si>
  <si>
    <t xml:space="preserve">	38.915929	, -76.902339</t>
  </si>
  <si>
    <t xml:space="preserve">	30.253292	, -97.685622</t>
  </si>
  <si>
    <t xml:space="preserve">	47.564473	, -122.338048</t>
  </si>
  <si>
    <t xml:space="preserve">	47.548082	, -122.333112</t>
  </si>
  <si>
    <t xml:space="preserve">	33.443013	, -111.978891</t>
  </si>
  <si>
    <t xml:space="preserve">	37.760679	, -122.389868</t>
  </si>
  <si>
    <t xml:space="preserve">	33.894035	, -118.369661</t>
  </si>
  <si>
    <t xml:space="preserve">	34.03279	, -118.449937</t>
  </si>
  <si>
    <t xml:space="preserve">	33.690294	, -117.845751</t>
  </si>
  <si>
    <t xml:space="preserve">	34.061792	, -118.291674</t>
  </si>
  <si>
    <t xml:space="preserve">	32.749868	, -117.20119</t>
  </si>
  <si>
    <t xml:space="preserve">	37.378499	, -122.006933</t>
  </si>
  <si>
    <t xml:space="preserve">	37.850326	, -122.28835</t>
  </si>
  <si>
    <t xml:space="preserve">	38.546686	, -121.41768</t>
  </si>
  <si>
    <t xml:space="preserve">	34.117422	, -118.250907</t>
  </si>
  <si>
    <t xml:space="preserve">	39.766831	, -104.755735</t>
  </si>
  <si>
    <t xml:space="preserve">	40.021967	, -105.247823</t>
  </si>
  <si>
    <t xml:space="preserve">	25.917574	, -80.22638</t>
  </si>
  <si>
    <t xml:space="preserve">	25.799236	, -80.192999</t>
  </si>
  <si>
    <t xml:space="preserve">	27.953925	, -82.408738</t>
  </si>
  <si>
    <t xml:space="preserve">	28.459706	, -81.439401</t>
  </si>
  <si>
    <t xml:space="preserve">	33.818156	, -84.451347</t>
  </si>
  <si>
    <t xml:space="preserve">	33.968032	, -84.082552</t>
  </si>
  <si>
    <t xml:space="preserve">	41.902083	, -87.652101</t>
  </si>
  <si>
    <t xml:space="preserve">	39.270333	, -76.548419</t>
  </si>
  <si>
    <t xml:space="preserve">	42.333476	, -71.075829</t>
  </si>
  <si>
    <t xml:space="preserve">	42.162177	, -83.237517</t>
  </si>
  <si>
    <t xml:space="preserve">	44.98324	, -93.217092</t>
  </si>
  <si>
    <t xml:space="preserve">	36.075922	, -115.095093</t>
  </si>
  <si>
    <t xml:space="preserve">	40.741287	, -73.978738</t>
  </si>
  <si>
    <t xml:space="preserve">	40.750268	, -74.037173</t>
  </si>
  <si>
    <t xml:space="preserve">	35.239954	, -80.830945</t>
  </si>
  <si>
    <t xml:space="preserve">	35.823934	, -78.613342</t>
  </si>
  <si>
    <t xml:space="preserve">	39.192379	, -84.499018</t>
  </si>
  <si>
    <t xml:space="preserve">	39.972207	, -83.1003</t>
  </si>
  <si>
    <t xml:space="preserve">	45.538884	, -122.696456</t>
  </si>
  <si>
    <t xml:space="preserve">	39.955618	, -75.205151</t>
  </si>
  <si>
    <t xml:space="preserve">	36.091742	, -86.689702</t>
  </si>
  <si>
    <t xml:space="preserve">	30.380971	, -97.717485</t>
  </si>
  <si>
    <t xml:space="preserve">	29.833875	, -95.500477</t>
  </si>
  <si>
    <t xml:space="preserve">	32.82846	, -96.845904</t>
  </si>
  <si>
    <t xml:space="preserve">	29.525994	, -98.400545</t>
  </si>
  <si>
    <t xml:space="preserve">	36.7922	, -76.231798</t>
  </si>
  <si>
    <t xml:space="preserve">	37.583916	, -77.481577</t>
  </si>
  <si>
    <t xml:space="preserve">	47.705232	, -122.182558</t>
  </si>
  <si>
    <t xml:space="preserve">	47.727985	, -122.345946</t>
  </si>
  <si>
    <t xml:space="preserve">	47.616679	, -122.338956</t>
  </si>
  <si>
    <t xml:space="preserve">	47.580036	, -122.335577</t>
  </si>
  <si>
    <t xml:space="preserve">	47.585741	, -122.325553</t>
  </si>
  <si>
    <t xml:space="preserve">	43.011852	, -87.964655</t>
  </si>
  <si>
    <t xml:space="preserve">	33.868225	, -117.237054</t>
  </si>
  <si>
    <t xml:space="preserve">	34.127253	, -117.401059</t>
  </si>
  <si>
    <t xml:space="preserve">	41.483289	, -88.071143</t>
  </si>
  <si>
    <t xml:space="preserve">	39.602599	, -86.050745</t>
  </si>
  <si>
    <t xml:space="preserve">	39.062656	, -84.718168</t>
  </si>
  <si>
    <t xml:space="preserve">	40.109382	, -74.800663</t>
  </si>
  <si>
    <t xml:space="preserve">	35.245733	, -80.996704</t>
  </si>
  <si>
    <t xml:space="preserve">	40.92196	, -76.049831</t>
  </si>
  <si>
    <t xml:space="preserve">	35.006255	, -89.954056</t>
  </si>
  <si>
    <t xml:space="preserve">	32.661004	, -96.736254</t>
  </si>
  <si>
    <t xml:space="preserve">	30.555733	, -88.21085</t>
  </si>
  <si>
    <t xml:space="preserve">	33.86689	, -118.027977</t>
  </si>
  <si>
    <t xml:space="preserve">	38.398655	, -121.949356</t>
  </si>
  <si>
    <t xml:space="preserve">	41.496199	, -72.760878</t>
  </si>
  <si>
    <t xml:space="preserve">	28.251179	, -81.66275</t>
  </si>
  <si>
    <t xml:space="preserve">	25.792998	, -80.410867</t>
  </si>
  <si>
    <t xml:space="preserve">	30.385254	, -81.789613</t>
  </si>
  <si>
    <t xml:space="preserve">	34.045999	, -84.603918</t>
  </si>
  <si>
    <t xml:space="preserve">	34.156993	, -83.637171</t>
  </si>
  <si>
    <t xml:space="preserve">	41.578773	, -88.131369</t>
  </si>
  <si>
    <t xml:space="preserve">	38.921428	, -94.782736</t>
  </si>
  <si>
    <t xml:space="preserve">	39.074364	, -84.72091</t>
  </si>
  <si>
    <t xml:space="preserve">	39.053587	, -84.656031</t>
  </si>
  <si>
    <t xml:space="preserve">	42.147242	, -71.063244</t>
  </si>
  <si>
    <t xml:space="preserve">	44.788412	, -93.442995</t>
  </si>
  <si>
    <t xml:space="preserve">	38.768093	, -90.386238</t>
  </si>
  <si>
    <t xml:space="preserve">	39.775371	, -75.377834</t>
  </si>
  <si>
    <t xml:space="preserve">	40.582739	, -74.255575</t>
  </si>
  <si>
    <t xml:space="preserve">	36.263393	, -115.077922</t>
  </si>
  <si>
    <t xml:space="preserve">	42.920934	, -78.624338</t>
  </si>
  <si>
    <t xml:space="preserve">	35.389847	, -80.717152</t>
  </si>
  <si>
    <t xml:space="preserve">	35.923111	, -78.831281</t>
  </si>
  <si>
    <t xml:space="preserve">	41.30582	, -81.466999</t>
  </si>
  <si>
    <t xml:space="preserve">	35.451904	, -97.653822</t>
  </si>
  <si>
    <t xml:space="preserve">	45.558606	, -122.919579</t>
  </si>
  <si>
    <t xml:space="preserve">	40.443905	, -80.082652</t>
  </si>
  <si>
    <t xml:space="preserve">	36.12976	, -86.692146</t>
  </si>
  <si>
    <t xml:space="preserve">	29.999917	, -95.302246</t>
  </si>
  <si>
    <t xml:space="preserve">	29.420977	, -98.59788</t>
  </si>
  <si>
    <t xml:space="preserve">	37.729194	, -77.455187</t>
  </si>
  <si>
    <t xml:space="preserve">	47.420221	, -122.261252</t>
  </si>
  <si>
    <t xml:space="preserve">	42.610346	, -87.943896</t>
  </si>
  <si>
    <t xml:space="preserve">	33.350702	, -111.833663</t>
  </si>
  <si>
    <t xml:space="preserve">	34.771838	, -92.261179</t>
  </si>
  <si>
    <t xml:space="preserve">	37.720552	, -122.184272</t>
  </si>
  <si>
    <t xml:space="preserve">	37.403222	, -121.898328</t>
  </si>
  <si>
    <t xml:space="preserve">	37.725005	, -122.155853</t>
  </si>
  <si>
    <t xml:space="preserve">	37.646608	, -122.397605</t>
  </si>
  <si>
    <t xml:space="preserve">	37.998565	, -122.348834</t>
  </si>
  <si>
    <t xml:space="preserve">	33.017232	, -117.090808</t>
  </si>
  <si>
    <t xml:space="preserve">	33.131471	, -117.256422</t>
  </si>
  <si>
    <t xml:space="preserve">	32.65995	, -117.11232</t>
  </si>
  <si>
    <t xml:space="preserve">	32.747879	, -117.158001</t>
  </si>
  <si>
    <t xml:space="preserve">	33.962117	, -118.372218</t>
  </si>
  <si>
    <t xml:space="preserve">	33.880357	, -118.008036</t>
  </si>
  <si>
    <t xml:space="preserve">	34.007992	, -118.14369</t>
  </si>
  <si>
    <t xml:space="preserve">	34.23468	, -118.584996</t>
  </si>
  <si>
    <t xml:space="preserve">	33.937744	, -117.297217</t>
  </si>
  <si>
    <t xml:space="preserve">	33.965477	, -117.653303</t>
  </si>
  <si>
    <t xml:space="preserve">	33.918134	, -118.324826</t>
  </si>
  <si>
    <t xml:space="preserve">	33.687701	, -117.847059</t>
  </si>
  <si>
    <t xml:space="preserve">	34.084387	, -118.057472</t>
  </si>
  <si>
    <t xml:space="preserve">	38.584537	, -121.56607</t>
  </si>
  <si>
    <t xml:space="preserve">	37.812658	, -121.260312</t>
  </si>
  <si>
    <t xml:space="preserve">	34.20191	, -118.930667</t>
  </si>
  <si>
    <t xml:space="preserve">	41.668721	, -72.922882</t>
  </si>
  <si>
    <t xml:space="preserve">	28.459265	, -81.440189</t>
  </si>
  <si>
    <t xml:space="preserve">	30.432862	, -81.576188</t>
  </si>
  <si>
    <t xml:space="preserve">	27.581127	, -82.534575</t>
  </si>
  <si>
    <t xml:space="preserve">	27.949948	, -82.357211</t>
  </si>
  <si>
    <t xml:space="preserve">	27.862633	, -82.65864</t>
  </si>
  <si>
    <t xml:space="preserve">	33.830216	, -84.507523</t>
  </si>
  <si>
    <t xml:space="preserve">	41.840228	, -87.684308</t>
  </si>
  <si>
    <t xml:space="preserve">	42.031458	, -87.777499</t>
  </si>
  <si>
    <t xml:space="preserve">	41.803227	, -88.09725</t>
  </si>
  <si>
    <t xml:space="preserve">	42.254209	, -87.985689</t>
  </si>
  <si>
    <t xml:space="preserve">	40.154114	, -88.262821</t>
  </si>
  <si>
    <t xml:space="preserve">	39.898935	, -86.263937</t>
  </si>
  <si>
    <t xml:space="preserve">	38.13957	, -85.893259</t>
  </si>
  <si>
    <t xml:space="preserve">	30.417004	, -91.072109</t>
  </si>
  <si>
    <t xml:space="preserve">	39.247756	, -76.650806</t>
  </si>
  <si>
    <t xml:space="preserve">	39.170977	, -76.706417</t>
  </si>
  <si>
    <t xml:space="preserve">	39.099726	, -77.140876</t>
  </si>
  <si>
    <t xml:space="preserve">	42.234043	, -71.140481</t>
  </si>
  <si>
    <t xml:space="preserve">	42.139462	, -71.492891</t>
  </si>
  <si>
    <t xml:space="preserve">	42.206052	, -71.032319</t>
  </si>
  <si>
    <t xml:space="preserve">	42.476035	, -83.092093</t>
  </si>
  <si>
    <t xml:space="preserve">	44.85349	, -93.13625</t>
  </si>
  <si>
    <t xml:space="preserve">	38.768181	, -90.385379</t>
  </si>
  <si>
    <t xml:space="preserve">	36.06977	, -115.182802</t>
  </si>
  <si>
    <t xml:space="preserve">	42.791897	, -71.529552</t>
  </si>
  <si>
    <t xml:space="preserve">	40.833663	, -74.050759</t>
  </si>
  <si>
    <t xml:space="preserve">	40.659415	, -74.004489</t>
  </si>
  <si>
    <t xml:space="preserve">	40.669095	, -74.186626</t>
  </si>
  <si>
    <t xml:space="preserve">	42.750662	, -73.694764</t>
  </si>
  <si>
    <t xml:space="preserve">	40.747448	, -73.492595</t>
  </si>
  <si>
    <t xml:space="preserve">	43.084152	, -77.61764</t>
  </si>
  <si>
    <t xml:space="preserve">	35.243339	, -80.992652</t>
  </si>
  <si>
    <t xml:space="preserve">	39.335756	, -84.48273</t>
  </si>
  <si>
    <t xml:space="preserve">	41.598465	, -81.499143</t>
  </si>
  <si>
    <t xml:space="preserve">	35.581278	, -97.439319</t>
  </si>
  <si>
    <t xml:space="preserve">	45.548791	, -122.724524</t>
  </si>
  <si>
    <t xml:space="preserve">	39.994264	, -75.077358</t>
  </si>
  <si>
    <t xml:space="preserve">	40.093963	, -75.402029</t>
  </si>
  <si>
    <t xml:space="preserve">	40.189913	, -74.870404</t>
  </si>
  <si>
    <t xml:space="preserve">	40.530833	, -80.138819</t>
  </si>
  <si>
    <t xml:space="preserve">	32.989889	, -80.106853</t>
  </si>
  <si>
    <t xml:space="preserve">	36.214401	, -86.778252</t>
  </si>
  <si>
    <t xml:space="preserve">	35.115172	, -90.066758</t>
  </si>
  <si>
    <t xml:space="preserve">	32.918687	, -96.901436</t>
  </si>
  <si>
    <t xml:space="preserve">	32.893519	, -96.688875</t>
  </si>
  <si>
    <t xml:space="preserve">	29.940885	, -95.544277</t>
  </si>
  <si>
    <t xml:space="preserve">	40.722183	, -111.993972</t>
  </si>
  <si>
    <t xml:space="preserve">	37.588315	, -77.410564</t>
  </si>
  <si>
    <t xml:space="preserve">	36.788268	, -76.265834</t>
  </si>
  <si>
    <t xml:space="preserve">	47.542406	, -122.328102</t>
  </si>
  <si>
    <t xml:space="preserve">	47.937333	, -122.245042</t>
  </si>
  <si>
    <t xml:space="preserve">	47.465061	, -122.231067</t>
  </si>
  <si>
    <t xml:space="preserve">	43.011828	, -87.963267</t>
  </si>
  <si>
    <t xml:space="preserve">	43.117002	, -88.238671</t>
  </si>
  <si>
    <t>Software Development</t>
  </si>
  <si>
    <t>Fulfillment/Distribution Center</t>
  </si>
  <si>
    <t>Prime Pantry/AmazonFresh Distribution Center</t>
  </si>
  <si>
    <t>Amazon Whole Foods Retail Food Distribution Center</t>
  </si>
  <si>
    <t>Prime Now Distribution Center</t>
  </si>
  <si>
    <t>Inbound Cross Dock (Redistribution Centers)</t>
  </si>
  <si>
    <t>Regional Sortation Center</t>
  </si>
  <si>
    <t>Amazon Delivery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</si>
</sst>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0"/>
      <color indexed="8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vertical="top"/>
    </xf>
  </cellStyleXfs>
  <cellXfs count="21">
    <xf numFmtId="0" fontId="0" fillId="0" borderId="0" xfId="0"/>
    <xf numFmtId="0" fontId="2" fillId="0" borderId="0" xfId="0" applyFont="1"/>
    <xf numFmtId="0" fontId="0" fillId="0" borderId="0" xfId="0" applyBorder="1"/>
    <xf numFmtId="0" fontId="2" fillId="0" borderId="0" xfId="1" applyFont="1" applyFill="1" applyBorder="1" applyAlignment="1">
      <alignment horizontal="center" vertical="center" wrapText="1"/>
    </xf>
    <xf numFmtId="0" fontId="0" fillId="0" borderId="0" xfId="0" applyFill="1" applyBorder="1"/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vertical="center"/>
    </xf>
    <xf numFmtId="0" fontId="0" fillId="0" borderId="0" xfId="0"/>
    <xf numFmtId="0" fontId="2" fillId="0" borderId="0" xfId="0" applyFont="1" applyFill="1" applyBorder="1" applyAlignment="1" applyProtection="1">
      <alignment horizontal="left"/>
    </xf>
    <xf numFmtId="0" fontId="4" fillId="0" borderId="0" xfId="1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center"/>
    </xf>
    <xf numFmtId="0" fontId="5" fillId="2" borderId="0" xfId="0" quotePrefix="1" applyFont="1" applyFill="1" applyBorder="1" applyAlignment="1">
      <alignment horizontal="center"/>
    </xf>
    <xf numFmtId="0" fontId="4" fillId="0" borderId="0" xfId="1" applyFont="1" applyFill="1" applyBorder="1" applyAlignment="1">
      <alignment horizontal="left" vertical="center"/>
    </xf>
    <xf numFmtId="0" fontId="2" fillId="0" borderId="0" xfId="0" applyFont="1" applyFill="1"/>
    <xf numFmtId="0" fontId="6" fillId="0" borderId="0" xfId="0" applyFont="1" applyFill="1" applyBorder="1" applyAlignment="1">
      <alignment horizontal="left" vertical="center"/>
    </xf>
    <xf numFmtId="0" fontId="7" fillId="0" borderId="0" xfId="0" applyFont="1"/>
    <xf numFmtId="22" fontId="8" fillId="0" borderId="0" xfId="0" applyNumberFormat="1" applyFont="1" applyAlignment="1">
      <alignment horizontal="left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CCECFF"/>
      <color rgb="FFECF2F8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161925</xdr:rowOff>
        </xdr:from>
        <xdr:to>
          <xdr:col>6</xdr:col>
          <xdr:colOff>1762125</xdr:colOff>
          <xdr:row>5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Map Markers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1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8.5703125" customWidth="1"/>
    <col min="2" max="2" width="41.28515625" style="4" bestFit="1" customWidth="1"/>
    <col min="3" max="3" width="24.42578125" style="2" bestFit="1" customWidth="1"/>
    <col min="4" max="4" width="17.28515625" bestFit="1" customWidth="1"/>
    <col min="5" max="5" width="76.5703125" bestFit="1" customWidth="1"/>
    <col min="6" max="6" width="18.85546875" customWidth="1"/>
    <col min="7" max="7" width="38" bestFit="1" customWidth="1"/>
  </cols>
  <sheetData>
    <row r="1" spans="1:10" x14ac:dyDescent="0.25">
      <c r="A1" s="13" t="s">
        <v>7</v>
      </c>
      <c r="B1" s="13" t="s">
        <v>0</v>
      </c>
      <c r="C1" s="13" t="s">
        <v>1</v>
      </c>
      <c r="D1" s="14" t="s">
        <v>2</v>
      </c>
      <c r="E1" s="15" t="s">
        <v>15</v>
      </c>
      <c r="F1" s="18" t="s">
        <v>16</v>
      </c>
      <c r="G1" s="19" t="str">
        <f ca="1">LEFT(CELL("filename",A1),FIND("[",CELL("filename",A1))-1)</f>
        <v>C:\Users\bfp037\Documents\Map Generator\</v>
      </c>
    </row>
    <row r="2" spans="1:10" x14ac:dyDescent="0.25">
      <c r="A2" s="16" t="s">
        <v>795</v>
      </c>
      <c r="B2" s="9" t="s">
        <v>18</v>
      </c>
      <c r="C2" s="12" t="s">
        <v>412</v>
      </c>
      <c r="D2" s="10" t="s">
        <v>6</v>
      </c>
      <c r="E2" s="1" t="str">
        <f>IF(ISBLANK($C2), "", "[" &amp; C2 &amp; ", '" &amp; A2 &amp; "', '" &amp; B2 &amp; "']" &amp; IF(E3 = "", "", ","))</f>
        <v>[	30.400981, -97.719182, 'Software Development', '11501 Alterra Parkway Suite 200, Austin, TX'],</v>
      </c>
    </row>
    <row r="3" spans="1:10" x14ac:dyDescent="0.25">
      <c r="A3" s="16" t="s">
        <v>795</v>
      </c>
      <c r="B3" s="9" t="s">
        <v>19</v>
      </c>
      <c r="C3" s="8" t="s">
        <v>413</v>
      </c>
      <c r="D3" s="10" t="s">
        <v>6</v>
      </c>
      <c r="E3" s="1" t="str">
        <f t="shared" ref="E3:E66" si="0">IF(ISBLANK($C3), "", "[" &amp; C3 &amp; ", '" &amp; A3 &amp; "', '" &amp; B3 &amp; "']" &amp; IF(E4 = "", "", ","))</f>
        <v>[	42.362321	, -71.080738, 'Software Development', '101 Main Street, Cambridge, MA'],</v>
      </c>
      <c r="F3" s="3"/>
      <c r="G3" s="3"/>
      <c r="H3" s="3"/>
      <c r="I3" s="3"/>
      <c r="J3" s="3"/>
    </row>
    <row r="4" spans="1:10" x14ac:dyDescent="0.25">
      <c r="A4" s="16" t="s">
        <v>795</v>
      </c>
      <c r="B4" s="9" t="s">
        <v>20</v>
      </c>
      <c r="C4" s="8" t="s">
        <v>414</v>
      </c>
      <c r="D4" s="10" t="s">
        <v>6</v>
      </c>
      <c r="E4" s="1" t="str">
        <f t="shared" si="0"/>
        <v>[	37.319847	, -122.029873, 'Software Development', '10201 Torre Avenue, Cupertino, CA'],</v>
      </c>
    </row>
    <row r="5" spans="1:10" x14ac:dyDescent="0.25">
      <c r="A5" s="16" t="s">
        <v>795</v>
      </c>
      <c r="B5" s="9" t="s">
        <v>21</v>
      </c>
      <c r="C5" s="8" t="s">
        <v>415</v>
      </c>
      <c r="D5" s="10" t="s">
        <v>6</v>
      </c>
      <c r="E5" s="1" t="str">
        <f t="shared" si="0"/>
        <v>[	42.328233	, -83.046367, 'Software Development', '150 W Jefferson Avenue, Detroit, MI'],</v>
      </c>
    </row>
    <row r="6" spans="1:10" x14ac:dyDescent="0.25">
      <c r="A6" s="16" t="s">
        <v>795</v>
      </c>
      <c r="B6" s="9" t="s">
        <v>22</v>
      </c>
      <c r="C6" s="8" t="s">
        <v>416</v>
      </c>
      <c r="D6" s="10" t="s">
        <v>6</v>
      </c>
      <c r="E6" s="1" t="str">
        <f t="shared" si="0"/>
        <v>[	38.954736	, -77.4043, 'Software Development', '13200 Woodland Park Road, Herndon, VA'],</v>
      </c>
    </row>
    <row r="7" spans="1:10" x14ac:dyDescent="0.25">
      <c r="A7" s="16" t="s">
        <v>795</v>
      </c>
      <c r="B7" s="9" t="s">
        <v>23</v>
      </c>
      <c r="C7" s="8" t="s">
        <v>417</v>
      </c>
      <c r="D7" s="10" t="s">
        <v>6</v>
      </c>
      <c r="E7" s="1" t="str">
        <f t="shared" si="0"/>
        <v>[	33.65065	, -117.751723, 'Software Development', '40 Pacifica #100, Irvine, CA'],</v>
      </c>
      <c r="F7" s="18" t="s">
        <v>17</v>
      </c>
      <c r="G7" s="20">
        <v>43416.499502314815</v>
      </c>
    </row>
    <row r="8" spans="1:10" x14ac:dyDescent="0.25">
      <c r="A8" s="16" t="s">
        <v>795</v>
      </c>
      <c r="B8" s="9" t="s">
        <v>24</v>
      </c>
      <c r="C8" s="8" t="s">
        <v>418</v>
      </c>
      <c r="D8" s="10" t="s">
        <v>6</v>
      </c>
      <c r="E8" s="1" t="str">
        <f t="shared" si="0"/>
        <v>[	44.984149	, -93.275018, 'Software Development', '323 N Washington Avenue, Minneapolis, MN'],</v>
      </c>
    </row>
    <row r="9" spans="1:10" x14ac:dyDescent="0.25">
      <c r="A9" s="16" t="s">
        <v>795</v>
      </c>
      <c r="B9" s="9" t="s">
        <v>25</v>
      </c>
      <c r="C9" s="8" t="s">
        <v>419</v>
      </c>
      <c r="D9" s="10" t="s">
        <v>6</v>
      </c>
      <c r="E9" s="1" t="str">
        <f t="shared" si="0"/>
        <v>[	40.749017	, -73.985299, 'Software Development', '7 W 34th Street, New York, NY'],</v>
      </c>
    </row>
    <row r="10" spans="1:10" x14ac:dyDescent="0.25">
      <c r="A10" s="16" t="s">
        <v>795</v>
      </c>
      <c r="B10" s="9" t="s">
        <v>26</v>
      </c>
      <c r="C10" s="8" t="s">
        <v>420</v>
      </c>
      <c r="D10" s="10" t="s">
        <v>6</v>
      </c>
      <c r="E10" s="1" t="str">
        <f t="shared" si="0"/>
        <v>[	40.427414	, -79.965835, 'Software Development', '2730 Sidney Street, Pittsburgh, PA'],</v>
      </c>
    </row>
    <row r="11" spans="1:10" x14ac:dyDescent="0.25">
      <c r="A11" s="16" t="s">
        <v>795</v>
      </c>
      <c r="B11" s="9" t="s">
        <v>27</v>
      </c>
      <c r="C11" s="8" t="s">
        <v>421</v>
      </c>
      <c r="D11" s="10" t="s">
        <v>6</v>
      </c>
      <c r="E11" s="1" t="str">
        <f t="shared" si="0"/>
        <v>[	37.791325	, -122.392971, 'Software Development', '188 Spear Street, San Francisco, CA'],</v>
      </c>
    </row>
    <row r="12" spans="1:10" x14ac:dyDescent="0.25">
      <c r="A12" s="16" t="s">
        <v>795</v>
      </c>
      <c r="B12" s="9" t="s">
        <v>28</v>
      </c>
      <c r="C12" s="8" t="s">
        <v>422</v>
      </c>
      <c r="D12" s="10" t="s">
        <v>6</v>
      </c>
      <c r="E12" s="1" t="str">
        <f t="shared" si="0"/>
        <v>[	35.281798	, -120.661125, 'Software Development', '1005 Monterey Street, San Luis Obispo, CA'],</v>
      </c>
    </row>
    <row r="13" spans="1:10" x14ac:dyDescent="0.25">
      <c r="A13" s="16" t="s">
        <v>795</v>
      </c>
      <c r="B13" s="9" t="s">
        <v>29</v>
      </c>
      <c r="C13" s="8" t="s">
        <v>423</v>
      </c>
      <c r="D13" s="10" t="s">
        <v>6</v>
      </c>
      <c r="E13" s="1" t="str">
        <f t="shared" si="0"/>
        <v>[	47.622192	, -122.336546, 'Software Development', '410 Terry Ave N, Seattle, WA'],</v>
      </c>
    </row>
    <row r="14" spans="1:10" x14ac:dyDescent="0.25">
      <c r="A14" s="16" t="s">
        <v>795</v>
      </c>
      <c r="B14" s="9" t="s">
        <v>30</v>
      </c>
      <c r="C14" s="5" t="s">
        <v>424</v>
      </c>
      <c r="D14" s="10" t="s">
        <v>6</v>
      </c>
      <c r="E14" s="1" t="str">
        <f t="shared" si="0"/>
        <v>[	33.338374	, -111.89711, 'Software Development', '8600 S Science Drive, Tempe, AZ'],</v>
      </c>
    </row>
    <row r="15" spans="1:10" x14ac:dyDescent="0.25">
      <c r="A15" s="16" t="s">
        <v>796</v>
      </c>
      <c r="B15" s="9" t="s">
        <v>31</v>
      </c>
      <c r="C15" s="8" t="s">
        <v>425</v>
      </c>
      <c r="D15" s="11" t="s">
        <v>4</v>
      </c>
      <c r="E15" s="1" t="str">
        <f t="shared" si="0"/>
        <v>[	33.606453	, -86.690986, 'Fulfillment/Distribution Center', 'Power Plant Road, Birmingham, AL'],</v>
      </c>
    </row>
    <row r="16" spans="1:10" x14ac:dyDescent="0.25">
      <c r="A16" s="16" t="s">
        <v>796</v>
      </c>
      <c r="B16" s="9" t="s">
        <v>32</v>
      </c>
      <c r="C16" s="8" t="s">
        <v>426</v>
      </c>
      <c r="D16" s="11" t="s">
        <v>4</v>
      </c>
      <c r="E16" s="1" t="str">
        <f t="shared" si="0"/>
        <v>[	33.433156	, -112.207478, 'Fulfillment/Distribution Center', '6835 West Buckeye Road, Phoenix, AZ'],</v>
      </c>
    </row>
    <row r="17" spans="1:5" x14ac:dyDescent="0.25">
      <c r="A17" s="16" t="s">
        <v>796</v>
      </c>
      <c r="B17" s="9" t="s">
        <v>33</v>
      </c>
      <c r="C17" s="8" t="s">
        <v>427</v>
      </c>
      <c r="D17" s="11" t="s">
        <v>4</v>
      </c>
      <c r="E17" s="1" t="str">
        <f t="shared" si="0"/>
        <v>[	33.411968	, -112.422068, 'Fulfillment/Distribution Center', '16920 W Commerce Drive, Goodyear, AZ'],</v>
      </c>
    </row>
    <row r="18" spans="1:5" x14ac:dyDescent="0.25">
      <c r="A18" s="16" t="s">
        <v>796</v>
      </c>
      <c r="B18" s="9" t="s">
        <v>34</v>
      </c>
      <c r="C18" s="8" t="s">
        <v>428</v>
      </c>
      <c r="D18" s="11" t="s">
        <v>4</v>
      </c>
      <c r="E18" s="1" t="str">
        <f t="shared" si="0"/>
        <v>[	33.433452	, -112.165053, 'Fulfillment/Distribution Center', '4750 West Mohave Street, Phoenix, AZ'],</v>
      </c>
    </row>
    <row r="19" spans="1:5" x14ac:dyDescent="0.25">
      <c r="A19" s="16" t="s">
        <v>796</v>
      </c>
      <c r="B19" s="9" t="s">
        <v>35</v>
      </c>
      <c r="C19" s="8" t="s">
        <v>429</v>
      </c>
      <c r="D19" s="11" t="s">
        <v>4</v>
      </c>
      <c r="E19" s="1" t="str">
        <f t="shared" si="0"/>
        <v>[	33.432513	, -112.168113, 'Fulfillment/Distribution Center', '5050 West Mohave Street, Phoenix, AZ'],</v>
      </c>
    </row>
    <row r="20" spans="1:5" x14ac:dyDescent="0.25">
      <c r="A20" s="16" t="s">
        <v>796</v>
      </c>
      <c r="B20" s="9" t="s">
        <v>36</v>
      </c>
      <c r="C20" s="8" t="s">
        <v>430</v>
      </c>
      <c r="D20" s="11" t="s">
        <v>4</v>
      </c>
      <c r="E20" s="1" t="str">
        <f t="shared" si="0"/>
        <v>[	33.457092	, -112.225362, 'Fulfillment/Distribution Center', '800 N 75th Ave, Phoenix, AZ'],</v>
      </c>
    </row>
    <row r="21" spans="1:5" x14ac:dyDescent="0.25">
      <c r="A21" s="16" t="s">
        <v>796</v>
      </c>
      <c r="B21" s="9" t="s">
        <v>37</v>
      </c>
      <c r="C21" s="8" t="s">
        <v>431</v>
      </c>
      <c r="D21" s="11" t="s">
        <v>4</v>
      </c>
      <c r="E21" s="1" t="str">
        <f t="shared" si="0"/>
        <v>[	33.422252	, -112.17439, 'Fulfillment/Distribution Center', '5333 W Lower Buckeye Road, Phoenix, AZ'],</v>
      </c>
    </row>
    <row r="22" spans="1:5" x14ac:dyDescent="0.25">
      <c r="A22" s="16" t="s">
        <v>796</v>
      </c>
      <c r="B22" s="9" t="s">
        <v>38</v>
      </c>
      <c r="C22" s="8" t="s">
        <v>432</v>
      </c>
      <c r="D22" s="11" t="s">
        <v>4</v>
      </c>
      <c r="E22" s="1" t="str">
        <f t="shared" si="0"/>
        <v>[	33.450087	, -112.210081, 'Fulfillment/Distribution Center', '7037 West Van Buren Street, Phoenix, AZ'],</v>
      </c>
    </row>
    <row r="23" spans="1:5" x14ac:dyDescent="0.25">
      <c r="A23" s="16" t="s">
        <v>796</v>
      </c>
      <c r="B23" s="9" t="s">
        <v>39</v>
      </c>
      <c r="C23" s="8" t="s">
        <v>433</v>
      </c>
      <c r="D23" s="11" t="s">
        <v>4</v>
      </c>
      <c r="E23" s="1" t="str">
        <f t="shared" si="0"/>
        <v>[	32.129389	, -110.840959, 'Fulfillment/Distribution Center', '6701 S. Kolb road, Tucson, AZ'],</v>
      </c>
    </row>
    <row r="24" spans="1:5" x14ac:dyDescent="0.25">
      <c r="A24" s="16" t="s">
        <v>796</v>
      </c>
      <c r="B24" s="9" t="s">
        <v>40</v>
      </c>
      <c r="C24" s="8" t="s">
        <v>434</v>
      </c>
      <c r="D24" s="11" t="s">
        <v>4</v>
      </c>
      <c r="E24" s="1" t="str">
        <f t="shared" si="0"/>
        <v>[	34.088408	, -117.245839, 'Fulfillment/Distribution Center', '1910 E. Central Ave Building 3, San Bernardino, CA'],</v>
      </c>
    </row>
    <row r="25" spans="1:5" x14ac:dyDescent="0.25">
      <c r="A25" s="16" t="s">
        <v>796</v>
      </c>
      <c r="B25" s="9" t="s">
        <v>41</v>
      </c>
      <c r="C25" s="8" t="s">
        <v>435</v>
      </c>
      <c r="D25" s="11" t="s">
        <v>4</v>
      </c>
      <c r="E25" s="1" t="str">
        <f t="shared" si="0"/>
        <v>[	33.872012	, -117.238073, 'Fulfillment/Distribution Center', '24208 San Michele Road, Moreno valley, CA'],</v>
      </c>
    </row>
    <row r="26" spans="1:5" x14ac:dyDescent="0.25">
      <c r="A26" s="16" t="s">
        <v>796</v>
      </c>
      <c r="B26" s="9" t="s">
        <v>42</v>
      </c>
      <c r="C26" s="6" t="s">
        <v>436</v>
      </c>
      <c r="D26" s="11" t="s">
        <v>4</v>
      </c>
      <c r="E26" s="1" t="str">
        <f t="shared" si="0"/>
        <v>[	34.075843	, -117.228294, 'Fulfillment/Distribution Center', '2125 W San Bernardino Ave, Redlands, CA'],</v>
      </c>
    </row>
    <row r="27" spans="1:5" x14ac:dyDescent="0.25">
      <c r="A27" s="16" t="s">
        <v>796</v>
      </c>
      <c r="B27" s="9" t="s">
        <v>43</v>
      </c>
      <c r="C27" s="6" t="s">
        <v>437</v>
      </c>
      <c r="D27" s="11" t="s">
        <v>4</v>
      </c>
      <c r="E27" s="1" t="str">
        <f t="shared" si="0"/>
        <v>[	33.83383	, -118.227529, 'Fulfillment/Distribution Center', '2417 E Carson Street, Long Beach, CA'],</v>
      </c>
    </row>
    <row r="28" spans="1:5" x14ac:dyDescent="0.25">
      <c r="A28" s="16" t="s">
        <v>796</v>
      </c>
      <c r="B28" s="9" t="s">
        <v>44</v>
      </c>
      <c r="C28" s="6" t="s">
        <v>438</v>
      </c>
      <c r="D28" s="11" t="s">
        <v>4</v>
      </c>
      <c r="E28" s="1" t="str">
        <f t="shared" si="0"/>
        <v>[	34.080396	, -117.203176, 'Fulfillment/Distribution Center', '27517 Pionieer Ave, Redlands, CA'],</v>
      </c>
    </row>
    <row r="29" spans="1:5" x14ac:dyDescent="0.25">
      <c r="A29" s="16" t="s">
        <v>796</v>
      </c>
      <c r="B29" s="9" t="s">
        <v>45</v>
      </c>
      <c r="C29" s="6" t="s">
        <v>439</v>
      </c>
      <c r="D29" s="11" t="s">
        <v>4</v>
      </c>
      <c r="E29" s="1" t="str">
        <f t="shared" si="0"/>
        <v>[	33.999282	, -117.554641, 'Fulfillment/Distribution Center', '5250 Goodman Way, Eastvale, CA'],</v>
      </c>
    </row>
    <row r="30" spans="1:5" x14ac:dyDescent="0.25">
      <c r="A30" s="16" t="s">
        <v>796</v>
      </c>
      <c r="B30" s="9" t="s">
        <v>46</v>
      </c>
      <c r="C30" s="6" t="s">
        <v>439</v>
      </c>
      <c r="D30" s="11" t="s">
        <v>4</v>
      </c>
      <c r="E30" s="1" t="str">
        <f t="shared" si="0"/>
        <v>[	33.999282	, -117.554641, 'Fulfillment/Distribution Center', '5040 Goodman Way, Eastvale, CA'],</v>
      </c>
    </row>
    <row r="31" spans="1:5" x14ac:dyDescent="0.25">
      <c r="A31" s="16" t="s">
        <v>796</v>
      </c>
      <c r="B31" s="9" t="s">
        <v>47</v>
      </c>
      <c r="C31" s="6" t="s">
        <v>440</v>
      </c>
      <c r="D31" s="11" t="s">
        <v>4</v>
      </c>
      <c r="E31" s="1" t="str">
        <f t="shared" si="0"/>
        <v>[	33.998477	, -117.552887, 'Fulfillment/Distribution Center', '4950 Goodman Way, Eastvale, CA'],</v>
      </c>
    </row>
    <row r="32" spans="1:5" x14ac:dyDescent="0.25">
      <c r="A32" s="16" t="s">
        <v>796</v>
      </c>
      <c r="B32" s="9" t="s">
        <v>48</v>
      </c>
      <c r="C32" s="6" t="s">
        <v>441</v>
      </c>
      <c r="D32" s="11" t="s">
        <v>4</v>
      </c>
      <c r="E32" s="1" t="str">
        <f t="shared" si="0"/>
        <v>[	33.881021	, -117.300358, 'Fulfillment/Distribution Center', '20901 Krameria Avenue, Riverside, CA'],</v>
      </c>
    </row>
    <row r="33" spans="1:5" x14ac:dyDescent="0.25">
      <c r="A33" s="16" t="s">
        <v>796</v>
      </c>
      <c r="B33" s="9" t="s">
        <v>49</v>
      </c>
      <c r="C33" s="6" t="s">
        <v>442</v>
      </c>
      <c r="D33" s="11" t="s">
        <v>4</v>
      </c>
      <c r="E33" s="1" t="str">
        <f t="shared" si="0"/>
        <v>[	34.077519	, -117.272566, 'Fulfillment/Distribution Center', '555 East Orange Road, San Bernardino, CA'],</v>
      </c>
    </row>
    <row r="34" spans="1:5" x14ac:dyDescent="0.25">
      <c r="A34" s="16" t="s">
        <v>796</v>
      </c>
      <c r="B34" s="9" t="s">
        <v>50</v>
      </c>
      <c r="C34" s="6" t="s">
        <v>443</v>
      </c>
      <c r="D34" s="11" t="s">
        <v>4</v>
      </c>
      <c r="E34" s="1" t="str">
        <f t="shared" si="0"/>
        <v>[	38.682511	, -121.574335, 'Fulfillment/Distribution Center', '4900 W Elkhorn Boulevard, Sacremento, CA'],</v>
      </c>
    </row>
    <row r="35" spans="1:5" x14ac:dyDescent="0.25">
      <c r="A35" s="16" t="s">
        <v>796</v>
      </c>
      <c r="B35" s="9" t="s">
        <v>51</v>
      </c>
      <c r="C35" s="6" t="s">
        <v>444</v>
      </c>
      <c r="D35" s="11" t="s">
        <v>4</v>
      </c>
      <c r="E35" s="1" t="str">
        <f t="shared" si="0"/>
        <v>[	37.902737	, -121.240943, 'Fulfillment/Distribution Center', '4723 S. B Street, Stockton, CA'],</v>
      </c>
    </row>
    <row r="36" spans="1:5" x14ac:dyDescent="0.25">
      <c r="A36" s="16" t="s">
        <v>796</v>
      </c>
      <c r="B36" s="9" t="s">
        <v>52</v>
      </c>
      <c r="C36" s="6" t="s">
        <v>445</v>
      </c>
      <c r="D36" s="11" t="s">
        <v>4</v>
      </c>
      <c r="E36" s="1" t="str">
        <f t="shared" si="0"/>
        <v>[	37.908617	, -121.202273, 'Fulfillment/Distribution Center', '4532 Newcastle Road, Stockton, CA'],</v>
      </c>
    </row>
    <row r="37" spans="1:5" x14ac:dyDescent="0.25">
      <c r="A37" s="16" t="s">
        <v>796</v>
      </c>
      <c r="B37" s="9" t="s">
        <v>53</v>
      </c>
      <c r="C37" s="6" t="s">
        <v>446</v>
      </c>
      <c r="D37" s="11" t="s">
        <v>4</v>
      </c>
      <c r="E37" s="1" t="str">
        <f t="shared" si="0"/>
        <v>[	37.468171	, -121.1677, 'Fulfillment/Distribution Center', '255 Park Center Drive, Patterson, CA'],</v>
      </c>
    </row>
    <row r="38" spans="1:5" x14ac:dyDescent="0.25">
      <c r="A38" s="16" t="s">
        <v>796</v>
      </c>
      <c r="B38" s="9" t="s">
        <v>54</v>
      </c>
      <c r="C38" s="6" t="s">
        <v>447</v>
      </c>
      <c r="D38" s="11" t="s">
        <v>4</v>
      </c>
      <c r="E38" s="1" t="str">
        <f t="shared" si="0"/>
        <v>[	37.745404	, -121.404442, 'Fulfillment/Distribution Center', '1555 N. Chrisman Road, Tracy, CA'],</v>
      </c>
    </row>
    <row r="39" spans="1:5" x14ac:dyDescent="0.25">
      <c r="A39" s="16" t="s">
        <v>796</v>
      </c>
      <c r="B39" s="9" t="s">
        <v>55</v>
      </c>
      <c r="C39" s="6" t="s">
        <v>448</v>
      </c>
      <c r="D39" s="11" t="s">
        <v>4</v>
      </c>
      <c r="E39" s="1" t="str">
        <f t="shared" si="0"/>
        <v>[	37.751017	, -121.531715, 'Fulfillment/Distribution Center', '188 Mountain House Parkway, Tracy, CA'],</v>
      </c>
    </row>
    <row r="40" spans="1:5" x14ac:dyDescent="0.25">
      <c r="A40" s="16" t="s">
        <v>796</v>
      </c>
      <c r="B40" s="9" t="s">
        <v>56</v>
      </c>
      <c r="C40" s="6" t="s">
        <v>449</v>
      </c>
      <c r="D40" s="11" t="s">
        <v>4</v>
      </c>
      <c r="E40" s="1" t="str">
        <f t="shared" si="0"/>
        <v>[	37.91783	, -121.250833, 'Fulfillment/Distribution Center', '1909 Zephyr Street, Stockton, CA'],</v>
      </c>
    </row>
    <row r="41" spans="1:5" x14ac:dyDescent="0.25">
      <c r="A41" s="16" t="s">
        <v>796</v>
      </c>
      <c r="B41" s="9" t="s">
        <v>57</v>
      </c>
      <c r="C41" s="6" t="s">
        <v>450</v>
      </c>
      <c r="D41" s="11" t="s">
        <v>4</v>
      </c>
      <c r="E41" s="1" t="str">
        <f t="shared" si="0"/>
        <v>[	34.131011	, -117.422233, 'Fulfillment/Distribution Center', '2496 West Walnut Ave, Rialto, CA'],</v>
      </c>
    </row>
    <row r="42" spans="1:5" x14ac:dyDescent="0.25">
      <c r="A42" s="16" t="s">
        <v>796</v>
      </c>
      <c r="B42" s="9" t="s">
        <v>58</v>
      </c>
      <c r="C42" s="6" t="s">
        <v>451</v>
      </c>
      <c r="D42" s="11" t="s">
        <v>4</v>
      </c>
      <c r="E42" s="1" t="str">
        <f t="shared" si="0"/>
        <v>[	34.127088	, -117.42517, 'Fulfillment/Distribution Center', '1590 N Tamarind Ave, Rialto, CA'],</v>
      </c>
    </row>
    <row r="43" spans="1:5" x14ac:dyDescent="0.25">
      <c r="A43" s="16" t="s">
        <v>796</v>
      </c>
      <c r="B43" s="9" t="s">
        <v>59</v>
      </c>
      <c r="C43" s="6" t="s">
        <v>452</v>
      </c>
      <c r="D43" s="11" t="s">
        <v>4</v>
      </c>
      <c r="E43" s="1" t="str">
        <f t="shared" si="0"/>
        <v>[	36.683607	, -119.763802, 'Fulfillment/Distribution Center', '3575 S Orange Ave, Fresno, CA'],</v>
      </c>
    </row>
    <row r="44" spans="1:5" x14ac:dyDescent="0.25">
      <c r="A44" s="16" t="s">
        <v>796</v>
      </c>
      <c r="B44" s="9" t="s">
        <v>60</v>
      </c>
      <c r="C44" s="6" t="s">
        <v>453</v>
      </c>
      <c r="D44" s="11" t="s">
        <v>4</v>
      </c>
      <c r="E44" s="1" t="str">
        <f t="shared" si="0"/>
        <v>[	35.441357	, -119.051696, 'Fulfillment/Distribution Center', 'Merle Haggard Drive, Bakersfield, CA'],</v>
      </c>
    </row>
    <row r="45" spans="1:5" x14ac:dyDescent="0.25">
      <c r="A45" s="16" t="s">
        <v>796</v>
      </c>
      <c r="B45" s="9" t="s">
        <v>61</v>
      </c>
      <c r="C45" s="6" t="s">
        <v>454</v>
      </c>
      <c r="D45" s="11" t="s">
        <v>4</v>
      </c>
      <c r="E45" s="1" t="str">
        <f t="shared" si="0"/>
        <v>[	39.957796	, -104.984415, 'Fulfillment/Distribution Center', '14601 Grant Street, Thornton, CO'],</v>
      </c>
    </row>
    <row r="46" spans="1:5" x14ac:dyDescent="0.25">
      <c r="A46" s="16" t="s">
        <v>796</v>
      </c>
      <c r="B46" s="9" t="s">
        <v>62</v>
      </c>
      <c r="C46" s="6" t="s">
        <v>455</v>
      </c>
      <c r="D46" s="11" t="s">
        <v>4</v>
      </c>
      <c r="E46" s="1" t="str">
        <f t="shared" si="0"/>
        <v>[	39.742433	, -104.707781, 'Fulfillment/Distribution Center', '24006 E. 19th Avenue, Aurora, CO'],</v>
      </c>
    </row>
    <row r="47" spans="1:5" x14ac:dyDescent="0.25">
      <c r="A47" s="16" t="s">
        <v>796</v>
      </c>
      <c r="B47" s="9" t="s">
        <v>63</v>
      </c>
      <c r="C47" s="6" t="s">
        <v>456</v>
      </c>
      <c r="D47" s="11" t="s">
        <v>4</v>
      </c>
      <c r="E47" s="1" t="str">
        <f t="shared" si="0"/>
        <v>[	41.87896	, -72.705075, 'Fulfillment/Distribution Center', '200 Old Iron ore Road, Windsor, CT'],</v>
      </c>
    </row>
    <row r="48" spans="1:5" x14ac:dyDescent="0.25">
      <c r="A48" s="16" t="s">
        <v>796</v>
      </c>
      <c r="B48" s="9" t="s">
        <v>64</v>
      </c>
      <c r="C48" s="6" t="s">
        <v>457</v>
      </c>
      <c r="D48" s="11" t="s">
        <v>4</v>
      </c>
      <c r="E48" s="1" t="str">
        <f t="shared" si="0"/>
        <v>[	41.409145	, -72.843821, 'Fulfillment/Distribution Center', '409 Washington Ave, North Haven, CT'],</v>
      </c>
    </row>
    <row r="49" spans="1:5" x14ac:dyDescent="0.25">
      <c r="A49" s="16" t="s">
        <v>796</v>
      </c>
      <c r="B49" s="9" t="s">
        <v>65</v>
      </c>
      <c r="C49" s="6" t="s">
        <v>458</v>
      </c>
      <c r="D49" s="11" t="s">
        <v>4</v>
      </c>
      <c r="E49" s="1" t="str">
        <f t="shared" si="0"/>
        <v>[	39.663845	, -75.590072, 'Fulfillment/Distribution Center', '1 CenterPoint Boulevard, New Castle, DE'],</v>
      </c>
    </row>
    <row r="50" spans="1:5" x14ac:dyDescent="0.25">
      <c r="A50" s="16" t="s">
        <v>796</v>
      </c>
      <c r="B50" s="9" t="s">
        <v>66</v>
      </c>
      <c r="C50" s="6" t="s">
        <v>459</v>
      </c>
      <c r="D50" s="11" t="s">
        <v>4</v>
      </c>
      <c r="E50" s="1" t="str">
        <f t="shared" si="0"/>
        <v>[	39.439055	, -75.733376, 'Fulfillment/Distribution Center', '560 Merrimac Ave, Middletown, DE'],</v>
      </c>
    </row>
    <row r="51" spans="1:5" x14ac:dyDescent="0.25">
      <c r="A51" s="16" t="s">
        <v>796</v>
      </c>
      <c r="B51" s="9" t="s">
        <v>67</v>
      </c>
      <c r="C51" s="6" t="s">
        <v>460</v>
      </c>
      <c r="D51" s="11" t="s">
        <v>4</v>
      </c>
      <c r="E51" s="1" t="str">
        <f t="shared" si="0"/>
        <v>[	27.72721	, -82.38732, 'Fulfillment/Distribution Center', '3350 Laurel Ridge Ave, Ruskin, FL'],</v>
      </c>
    </row>
    <row r="52" spans="1:5" x14ac:dyDescent="0.25">
      <c r="A52" s="16" t="s">
        <v>796</v>
      </c>
      <c r="B52" s="9" t="s">
        <v>68</v>
      </c>
      <c r="C52" s="6" t="s">
        <v>461</v>
      </c>
      <c r="D52" s="11" t="s">
        <v>4</v>
      </c>
      <c r="E52" s="1" t="str">
        <f t="shared" si="0"/>
        <v>[	28.020246	, -82.053994, 'Fulfillment/Distribution Center', '1760 County Line Road, Lakeland, FL'],</v>
      </c>
    </row>
    <row r="53" spans="1:5" x14ac:dyDescent="0.25">
      <c r="A53" s="16" t="s">
        <v>796</v>
      </c>
      <c r="B53" s="9" t="s">
        <v>69</v>
      </c>
      <c r="C53" s="6" t="s">
        <v>462</v>
      </c>
      <c r="D53" s="11" t="s">
        <v>4</v>
      </c>
      <c r="E53" s="1" t="str">
        <f t="shared" si="0"/>
        <v>[	28.438199	, -81.390591, 'Fulfillment/Distribution Center', '901 W Landstreet Road, Orlando, FL'],</v>
      </c>
    </row>
    <row r="54" spans="1:5" x14ac:dyDescent="0.25">
      <c r="A54" s="16" t="s">
        <v>796</v>
      </c>
      <c r="B54" s="9" t="s">
        <v>70</v>
      </c>
      <c r="C54" s="6" t="s">
        <v>463</v>
      </c>
      <c r="D54" s="11" t="s">
        <v>4</v>
      </c>
      <c r="E54" s="1" t="str">
        <f t="shared" si="0"/>
        <v>[	30.465166	, -81.675553, 'Fulfillment/Distribution Center', '12900 Pecan Park Road, Jacksonville, FL'],</v>
      </c>
    </row>
    <row r="55" spans="1:5" x14ac:dyDescent="0.25">
      <c r="A55" s="16" t="s">
        <v>796</v>
      </c>
      <c r="B55" s="9" t="s">
        <v>71</v>
      </c>
      <c r="C55" s="6" t="s">
        <v>464</v>
      </c>
      <c r="D55" s="11" t="s">
        <v>4</v>
      </c>
      <c r="E55" s="1" t="str">
        <f t="shared" si="0"/>
        <v>[	30.248559	, -81.863587, 'Fulfillment/Distribution Center', '13333 103rd Street, Jacksonville, FL'],</v>
      </c>
    </row>
    <row r="56" spans="1:5" x14ac:dyDescent="0.25">
      <c r="A56" s="16" t="s">
        <v>796</v>
      </c>
      <c r="B56" s="9" t="s">
        <v>72</v>
      </c>
      <c r="C56" s="6" t="s">
        <v>465</v>
      </c>
      <c r="D56" s="11" t="s">
        <v>4</v>
      </c>
      <c r="E56" s="1" t="str">
        <f t="shared" si="0"/>
        <v>[	25.900624	, -80.260608, 'Fulfillment/Distribution Center', '14000 NW 37th Ave, Opa-Locka, FL'],</v>
      </c>
    </row>
    <row r="57" spans="1:5" x14ac:dyDescent="0.25">
      <c r="A57" s="16" t="s">
        <v>796</v>
      </c>
      <c r="B57" s="9" t="s">
        <v>73</v>
      </c>
      <c r="C57" s="6" t="s">
        <v>466</v>
      </c>
      <c r="D57" s="11" t="s">
        <v>4</v>
      </c>
      <c r="E57" s="1" t="str">
        <f t="shared" si="0"/>
        <v>[	28.385113	, -81.314501, 'Fulfillment/Distribution Center', '12340 Boggy Creek Road, Orlando, FL'],</v>
      </c>
    </row>
    <row r="58" spans="1:5" x14ac:dyDescent="0.25">
      <c r="A58" s="16" t="s">
        <v>796</v>
      </c>
      <c r="B58" s="9" t="s">
        <v>74</v>
      </c>
      <c r="C58" s="6" t="s">
        <v>467</v>
      </c>
      <c r="D58" s="11" t="s">
        <v>4</v>
      </c>
      <c r="E58" s="1" t="str">
        <f t="shared" si="0"/>
        <v>[	33.643523	, -84.500223, 'Fulfillment/Distribution Center', '4200 North Commerce Drive, East Point, GA'],</v>
      </c>
    </row>
    <row r="59" spans="1:5" x14ac:dyDescent="0.25">
      <c r="A59" s="16" t="s">
        <v>796</v>
      </c>
      <c r="B59" s="9" t="s">
        <v>75</v>
      </c>
      <c r="C59" s="6" t="s">
        <v>468</v>
      </c>
      <c r="D59" s="11" t="s">
        <v>4</v>
      </c>
      <c r="E59" s="1" t="str">
        <f t="shared" si="0"/>
        <v>[	33.569147	, -84.539352, 'Fulfillment/Distribution Center', '6855 Shannon Parkway, Union City, GA'],</v>
      </c>
    </row>
    <row r="60" spans="1:5" x14ac:dyDescent="0.25">
      <c r="A60" s="16" t="s">
        <v>796</v>
      </c>
      <c r="B60" s="9" t="s">
        <v>76</v>
      </c>
      <c r="C60" s="6" t="s">
        <v>469</v>
      </c>
      <c r="D60" s="11" t="s">
        <v>4</v>
      </c>
      <c r="E60" s="1" t="str">
        <f t="shared" si="0"/>
        <v>[	33.744463	, -84.592467, 'Fulfillment/Distribution Center', '2201 Thornton Road, Lithia Springs, GA'],</v>
      </c>
    </row>
    <row r="61" spans="1:5" x14ac:dyDescent="0.25">
      <c r="A61" s="16" t="s">
        <v>796</v>
      </c>
      <c r="B61" s="9" t="s">
        <v>77</v>
      </c>
      <c r="C61" s="6" t="s">
        <v>470</v>
      </c>
      <c r="D61" s="11" t="s">
        <v>4</v>
      </c>
      <c r="E61" s="1" t="str">
        <f t="shared" si="0"/>
        <v>[	34.107231	, -83.774683, 'Fulfillment/Distribution Center', '650 Broadway Ave, Braselton, GA'],</v>
      </c>
    </row>
    <row r="62" spans="1:5" x14ac:dyDescent="0.25">
      <c r="A62" s="16" t="s">
        <v>796</v>
      </c>
      <c r="B62" s="9" t="s">
        <v>78</v>
      </c>
      <c r="C62" s="6" t="s">
        <v>471</v>
      </c>
      <c r="D62" s="11" t="s">
        <v>4</v>
      </c>
      <c r="E62" s="1" t="str">
        <f t="shared" si="0"/>
        <v>[	34.159671	, -83.630758, 'Fulfillment/Distribution Center', '808 Hog Mountain Road, Jefferson, GA'],</v>
      </c>
    </row>
    <row r="63" spans="1:5" x14ac:dyDescent="0.25">
      <c r="A63" s="16" t="s">
        <v>796</v>
      </c>
      <c r="B63" s="9" t="s">
        <v>79</v>
      </c>
      <c r="C63" s="6" t="s">
        <v>472</v>
      </c>
      <c r="D63" s="11" t="s">
        <v>4</v>
      </c>
      <c r="E63" s="1" t="str">
        <f t="shared" si="0"/>
        <v>[	32.719599	, -83.723156, 'Fulfillment/Distribution Center', '7001 Skipper Road, Macon, GA'],</v>
      </c>
    </row>
    <row r="64" spans="1:5" ht="25.5" x14ac:dyDescent="0.25">
      <c r="A64" s="16" t="s">
        <v>796</v>
      </c>
      <c r="B64" s="9" t="s">
        <v>80</v>
      </c>
      <c r="C64" s="6" t="s">
        <v>473</v>
      </c>
      <c r="D64" s="11" t="s">
        <v>4</v>
      </c>
      <c r="E64" s="1" t="str">
        <f t="shared" si="0"/>
        <v>[	33.818063	, -84.119316, 'Fulfillment/Distribution Center', '2100 West Park Place Boulevard, Stone Mountain, GA'],</v>
      </c>
    </row>
    <row r="65" spans="1:5" x14ac:dyDescent="0.25">
      <c r="A65" s="16" t="s">
        <v>796</v>
      </c>
      <c r="B65" s="9" t="s">
        <v>81</v>
      </c>
      <c r="C65" s="6" t="s">
        <v>474</v>
      </c>
      <c r="D65" s="11" t="s">
        <v>4</v>
      </c>
      <c r="E65" s="1" t="str">
        <f t="shared" si="0"/>
        <v>[	43.605009	, -116.496403, 'Fulfillment/Distribution Center', 'East Franklin Road, Nampa, ID'],</v>
      </c>
    </row>
    <row r="66" spans="1:5" x14ac:dyDescent="0.25">
      <c r="A66" s="16" t="s">
        <v>796</v>
      </c>
      <c r="B66" s="9" t="s">
        <v>82</v>
      </c>
      <c r="C66" s="6" t="s">
        <v>475</v>
      </c>
      <c r="D66" s="11" t="s">
        <v>4</v>
      </c>
      <c r="E66" s="1" t="str">
        <f t="shared" si="0"/>
        <v>[	39.981418	, -86.376551, 'Fulfillment/Distribution Center', '4255 Anson Boulevard, Whitestown, IN'],</v>
      </c>
    </row>
    <row r="67" spans="1:5" x14ac:dyDescent="0.25">
      <c r="A67" s="16" t="s">
        <v>796</v>
      </c>
      <c r="B67" s="9" t="s">
        <v>83</v>
      </c>
      <c r="C67" s="6" t="s">
        <v>476</v>
      </c>
      <c r="D67" s="11" t="s">
        <v>4</v>
      </c>
      <c r="E67" s="1" t="str">
        <f t="shared" ref="E67:E130" si="1">IF(ISBLANK($C67), "", "[" &amp; C67 &amp; ", '" &amp; A67 &amp; "', '" &amp; B67 &amp; "']" &amp; IF(E68 = "", "", ","))</f>
        <v>[	39.699853	, -86.343726, 'Fulfillment/Distribution Center', '715 Airtech Parkway, Plainsfield, IN'],</v>
      </c>
    </row>
    <row r="68" spans="1:5" x14ac:dyDescent="0.25">
      <c r="A68" s="16" t="s">
        <v>796</v>
      </c>
      <c r="B68" s="9" t="s">
        <v>84</v>
      </c>
      <c r="C68" s="6" t="s">
        <v>477</v>
      </c>
      <c r="D68" s="11" t="s">
        <v>4</v>
      </c>
      <c r="E68" s="1" t="str">
        <f t="shared" si="1"/>
        <v>[	39.708029	, -86.345684, 'Fulfillment/Distribution Center', '717 Airtech Parkway, Plainsfield, IN'],</v>
      </c>
    </row>
    <row r="69" spans="1:5" x14ac:dyDescent="0.25">
      <c r="A69" s="16" t="s">
        <v>796</v>
      </c>
      <c r="B69" s="9" t="s">
        <v>85</v>
      </c>
      <c r="C69" s="6" t="s">
        <v>478</v>
      </c>
      <c r="D69" s="11" t="s">
        <v>4</v>
      </c>
      <c r="E69" s="1" t="str">
        <f t="shared" si="1"/>
        <v>[	39.755716	, -86.290122, 'Fulfillment/Distribution Center', '710 South Girls School Road, Indianapolis, IN'],</v>
      </c>
    </row>
    <row r="70" spans="1:5" x14ac:dyDescent="0.25">
      <c r="A70" s="16" t="s">
        <v>796</v>
      </c>
      <c r="B70" s="9" t="s">
        <v>86</v>
      </c>
      <c r="C70" s="6" t="s">
        <v>479</v>
      </c>
      <c r="D70" s="11" t="s">
        <v>4</v>
      </c>
      <c r="E70" s="1" t="str">
        <f t="shared" si="1"/>
        <v>[	39.694807	, -86.358455, 'Fulfillment/Distribution Center', '800 South Perry Road, Plainfield, IN'],</v>
      </c>
    </row>
    <row r="71" spans="1:5" x14ac:dyDescent="0.25">
      <c r="A71" s="16" t="s">
        <v>796</v>
      </c>
      <c r="B71" s="9" t="s">
        <v>87</v>
      </c>
      <c r="C71" s="6" t="s">
        <v>480</v>
      </c>
      <c r="D71" s="11" t="s">
        <v>4</v>
      </c>
      <c r="E71" s="1" t="str">
        <f t="shared" si="1"/>
        <v>[	39.674792	, -86.32595, 'Fulfillment/Distribution Center', '9101 Orly Drive, Indianapolis, IN'],</v>
      </c>
    </row>
    <row r="72" spans="1:5" x14ac:dyDescent="0.25">
      <c r="A72" s="16" t="s">
        <v>796</v>
      </c>
      <c r="B72" s="9" t="s">
        <v>88</v>
      </c>
      <c r="C72" s="6" t="s">
        <v>481</v>
      </c>
      <c r="D72" s="11" t="s">
        <v>4</v>
      </c>
      <c r="E72" s="1" t="str">
        <f t="shared" si="1"/>
        <v>[	39.671919	, -86.304594, 'Fulfillment/Distribution Center', '6161 Decatur Boulevard, Indianapolis, IN'],</v>
      </c>
    </row>
    <row r="73" spans="1:5" x14ac:dyDescent="0.25">
      <c r="A73" s="16" t="s">
        <v>796</v>
      </c>
      <c r="B73" s="9" t="s">
        <v>89</v>
      </c>
      <c r="C73" s="6" t="s">
        <v>482</v>
      </c>
      <c r="D73" s="11" t="s">
        <v>4</v>
      </c>
      <c r="E73" s="1" t="str">
        <f t="shared" si="1"/>
        <v>[	38.381645	, -85.687788, 'Fulfillment/Distribution Center', '900 Patrol Road, Jeffersonville, IN'],</v>
      </c>
    </row>
    <row r="74" spans="1:5" x14ac:dyDescent="0.25">
      <c r="A74" s="16" t="s">
        <v>796</v>
      </c>
      <c r="B74" s="9" t="s">
        <v>90</v>
      </c>
      <c r="C74" s="6" t="s">
        <v>483</v>
      </c>
      <c r="D74" s="11" t="s">
        <v>4</v>
      </c>
      <c r="E74" s="1" t="str">
        <f t="shared" si="1"/>
        <v>[	39.96545	, -86.381139, 'Fulfillment/Distribution Center', '5460 Industrial Court, Whitestown, IN'],</v>
      </c>
    </row>
    <row r="75" spans="1:5" x14ac:dyDescent="0.25">
      <c r="A75" s="16" t="s">
        <v>796</v>
      </c>
      <c r="B75" s="9" t="s">
        <v>91</v>
      </c>
      <c r="C75" s="6" t="s">
        <v>484</v>
      </c>
      <c r="D75" s="11" t="s">
        <v>4</v>
      </c>
      <c r="E75" s="1" t="str">
        <f t="shared" si="1"/>
        <v>[	41.487896	, -88.07199, 'Fulfillment/Distribution Center', '201 Emerald Drive, Joliet, IL'],</v>
      </c>
    </row>
    <row r="76" spans="1:5" ht="25.5" x14ac:dyDescent="0.25">
      <c r="A76" s="16" t="s">
        <v>796</v>
      </c>
      <c r="B76" s="9" t="s">
        <v>92</v>
      </c>
      <c r="C76" s="6" t="s">
        <v>485</v>
      </c>
      <c r="D76" s="11" t="s">
        <v>4</v>
      </c>
      <c r="E76" s="1" t="str">
        <f t="shared" si="1"/>
        <v>[	38.772402	, -90.040902, 'Fulfillment/Distribution Center', '3050 Gateway Commerce Center Drive South, Edwardsville, IL'],</v>
      </c>
    </row>
    <row r="77" spans="1:5" x14ac:dyDescent="0.25">
      <c r="A77" s="16" t="s">
        <v>796</v>
      </c>
      <c r="B77" s="9" t="s">
        <v>93</v>
      </c>
      <c r="C77" s="6" t="s">
        <v>486</v>
      </c>
      <c r="D77" s="11" t="s">
        <v>4</v>
      </c>
      <c r="E77" s="1" t="str">
        <f t="shared" si="1"/>
        <v>[	38.784073	, -90.077074, 'Fulfillment/Distribution Center', '3931 Lakeview Corporate Drive, Edwardsville, IL'],</v>
      </c>
    </row>
    <row r="78" spans="1:5" x14ac:dyDescent="0.25">
      <c r="A78" s="16" t="s">
        <v>796</v>
      </c>
      <c r="B78" s="9" t="s">
        <v>94</v>
      </c>
      <c r="C78" s="6" t="s">
        <v>487</v>
      </c>
      <c r="D78" s="11" t="s">
        <v>4</v>
      </c>
      <c r="E78" s="1" t="str">
        <f t="shared" si="1"/>
        <v>[	41.672764	, -88.11551, 'Fulfillment/Distribution Center', '1125 W Remington Boulevard, Romeoville, IL'],</v>
      </c>
    </row>
    <row r="79" spans="1:5" x14ac:dyDescent="0.25">
      <c r="A79" s="16" t="s">
        <v>796</v>
      </c>
      <c r="B79" s="9" t="s">
        <v>95</v>
      </c>
      <c r="C79" s="6" t="s">
        <v>488</v>
      </c>
      <c r="D79" s="11" t="s">
        <v>4</v>
      </c>
      <c r="E79" s="1" t="str">
        <f t="shared" si="1"/>
        <v>[	41.426536	, -87.772819, 'Fulfillment/Distribution Center', '6605 W Monee Manhattan Road, Monee, IL'],</v>
      </c>
    </row>
    <row r="80" spans="1:5" x14ac:dyDescent="0.25">
      <c r="A80" s="16" t="s">
        <v>796</v>
      </c>
      <c r="B80" s="9" t="s">
        <v>96</v>
      </c>
      <c r="C80" s="6" t="s">
        <v>489</v>
      </c>
      <c r="D80" s="11" t="s">
        <v>4</v>
      </c>
      <c r="E80" s="1" t="str">
        <f t="shared" si="1"/>
        <v>[	42.328852	, -87.901938, 'Fulfillment/Distribution Center', '1750 Bridge Drive, Waukegan, IL'],</v>
      </c>
    </row>
    <row r="81" spans="1:5" x14ac:dyDescent="0.25">
      <c r="A81" s="16" t="s">
        <v>796</v>
      </c>
      <c r="B81" s="9" t="s">
        <v>97</v>
      </c>
      <c r="C81" s="6" t="s">
        <v>490</v>
      </c>
      <c r="D81" s="11" t="s">
        <v>4</v>
      </c>
      <c r="E81" s="1" t="str">
        <f t="shared" si="1"/>
        <v>[	41.815723	, -88.211328, 'Fulfillment/Distribution Center', '2865 Duke Parkway, Aurora, IL'],</v>
      </c>
    </row>
    <row r="82" spans="1:5" x14ac:dyDescent="0.25">
      <c r="A82" s="16" t="s">
        <v>796</v>
      </c>
      <c r="B82" s="9" t="s">
        <v>98</v>
      </c>
      <c r="C82" s="6" t="s">
        <v>491</v>
      </c>
      <c r="D82" s="11" t="s">
        <v>4</v>
      </c>
      <c r="E82" s="1" t="str">
        <f t="shared" si="1"/>
        <v>[	41.7592	, -88.206087, 'Fulfillment/Distribution Center', 'Route 59, Aurora, IL'],</v>
      </c>
    </row>
    <row r="83" spans="1:5" x14ac:dyDescent="0.25">
      <c r="A83" s="16" t="s">
        <v>796</v>
      </c>
      <c r="B83" s="9" t="s">
        <v>99</v>
      </c>
      <c r="C83" s="6" t="s">
        <v>492</v>
      </c>
      <c r="D83" s="11" t="s">
        <v>4</v>
      </c>
      <c r="E83" s="1" t="str">
        <f t="shared" si="1"/>
        <v>[	38.814616	, -94.945879, 'Fulfillment/Distribution Center', '1935 Waverly Road, Gardner, KS'],</v>
      </c>
    </row>
    <row r="84" spans="1:5" x14ac:dyDescent="0.25">
      <c r="A84" s="16" t="s">
        <v>796</v>
      </c>
      <c r="B84" s="9" t="s">
        <v>100</v>
      </c>
      <c r="C84" s="6" t="s">
        <v>493</v>
      </c>
      <c r="D84" s="11" t="s">
        <v>4</v>
      </c>
      <c r="E84" s="1" t="str">
        <f t="shared" si="1"/>
        <v>[	39.098366	, -94.739474, 'Fulfillment/Distribution Center', '6925 Riverview Ave, Kansas City, KS'],</v>
      </c>
    </row>
    <row r="85" spans="1:5" x14ac:dyDescent="0.25">
      <c r="A85" s="16" t="s">
        <v>796</v>
      </c>
      <c r="B85" s="9" t="s">
        <v>101</v>
      </c>
      <c r="C85" s="6" t="s">
        <v>494</v>
      </c>
      <c r="D85" s="11" t="s">
        <v>4</v>
      </c>
      <c r="E85" s="1" t="str">
        <f t="shared" si="1"/>
        <v>[	38.982761	, -84.629517, 'Fulfillment/Distribution Center', '7968 Kentucky Drive, Florence, KY'],</v>
      </c>
    </row>
    <row r="86" spans="1:5" x14ac:dyDescent="0.25">
      <c r="A86" s="16" t="s">
        <v>796</v>
      </c>
      <c r="B86" s="9" t="s">
        <v>102</v>
      </c>
      <c r="C86" s="6" t="s">
        <v>495</v>
      </c>
      <c r="D86" s="11" t="s">
        <v>4</v>
      </c>
      <c r="E86" s="1" t="str">
        <f t="shared" si="1"/>
        <v>[	39.083413	, -84.713857, 'Fulfillment/Distribution Center', '1155 Worldwide Boulevard, Hebron, KY'],</v>
      </c>
    </row>
    <row r="87" spans="1:5" x14ac:dyDescent="0.25">
      <c r="A87" s="16" t="s">
        <v>796</v>
      </c>
      <c r="B87" s="9" t="s">
        <v>103</v>
      </c>
      <c r="C87" s="6" t="s">
        <v>496</v>
      </c>
      <c r="D87" s="11" t="s">
        <v>4</v>
      </c>
      <c r="E87" s="1" t="str">
        <f t="shared" si="1"/>
        <v>[	39.087394	, -84.725757, 'Fulfillment/Distribution Center', '1600 Worldwide Boulevard, Hebron, KY'],</v>
      </c>
    </row>
    <row r="88" spans="1:5" x14ac:dyDescent="0.25">
      <c r="A88" s="16" t="s">
        <v>796</v>
      </c>
      <c r="B88" s="9" t="s">
        <v>104</v>
      </c>
      <c r="C88" s="6" t="s">
        <v>497</v>
      </c>
      <c r="D88" s="11" t="s">
        <v>4</v>
      </c>
      <c r="E88" s="1" t="str">
        <f t="shared" si="1"/>
        <v>[	38.075996	, -84.533687, 'Fulfillment/Distribution Center', '1850 Mercer Drive, Lexington, KY'],</v>
      </c>
    </row>
    <row r="89" spans="1:5" x14ac:dyDescent="0.25">
      <c r="A89" s="16" t="s">
        <v>796</v>
      </c>
      <c r="B89" s="9" t="s">
        <v>105</v>
      </c>
      <c r="C89" s="6" t="s">
        <v>498</v>
      </c>
      <c r="D89" s="11" t="s">
        <v>4</v>
      </c>
      <c r="E89" s="1" t="str">
        <f t="shared" si="1"/>
        <v>[	38.075437	, -84.550065, 'Fulfillment/Distribution Center', '172 Trade Street, Lexington, KY'],</v>
      </c>
    </row>
    <row r="90" spans="1:5" x14ac:dyDescent="0.25">
      <c r="A90" s="16" t="s">
        <v>796</v>
      </c>
      <c r="B90" s="9" t="s">
        <v>106</v>
      </c>
      <c r="C90" s="6" t="s">
        <v>499</v>
      </c>
      <c r="D90" s="11" t="s">
        <v>4</v>
      </c>
      <c r="E90" s="1" t="str">
        <f t="shared" si="1"/>
        <v>[	37.328126	, -85.351209, 'Fulfillment/Distribution Center', '1050 South Columbia Avenue, Campbellsville, KY'],</v>
      </c>
    </row>
    <row r="91" spans="1:5" x14ac:dyDescent="0.25">
      <c r="A91" s="16" t="s">
        <v>796</v>
      </c>
      <c r="B91" s="9" t="s">
        <v>107</v>
      </c>
      <c r="C91" s="6" t="s">
        <v>500</v>
      </c>
      <c r="D91" s="11" t="s">
        <v>4</v>
      </c>
      <c r="E91" s="1" t="str">
        <f t="shared" si="1"/>
        <v>[	38.194932	, -85.69265, 'Fulfillment/Distribution Center', '4360 Robards Lane, Louisville, KY'],</v>
      </c>
    </row>
    <row r="92" spans="1:5" x14ac:dyDescent="0.25">
      <c r="A92" s="16" t="s">
        <v>796</v>
      </c>
      <c r="B92" s="9" t="s">
        <v>108</v>
      </c>
      <c r="C92" s="6" t="s">
        <v>501</v>
      </c>
      <c r="D92" s="11" t="s">
        <v>4</v>
      </c>
      <c r="E92" s="1" t="str">
        <f t="shared" si="1"/>
        <v>[	37.982205	, -85.683936, 'Fulfillment/Distribution Center', '376 Zappos.com Boulevard, Shepherdsville, KY'],</v>
      </c>
    </row>
    <row r="93" spans="1:5" x14ac:dyDescent="0.25">
      <c r="A93" s="16" t="s">
        <v>796</v>
      </c>
      <c r="B93" s="9" t="s">
        <v>109</v>
      </c>
      <c r="C93" s="6" t="s">
        <v>502</v>
      </c>
      <c r="D93" s="11" t="s">
        <v>4</v>
      </c>
      <c r="E93" s="1" t="str">
        <f t="shared" si="1"/>
        <v>[	37.973152	, -85.683515, 'Fulfillment/Distribution Center', '271 Omega Parkway, Shepherdsville, KY'],</v>
      </c>
    </row>
    <row r="94" spans="1:5" x14ac:dyDescent="0.25">
      <c r="A94" s="16" t="s">
        <v>796</v>
      </c>
      <c r="B94" s="9" t="s">
        <v>110</v>
      </c>
      <c r="C94" s="6" t="s">
        <v>503</v>
      </c>
      <c r="D94" s="11" t="s">
        <v>4</v>
      </c>
      <c r="E94" s="1" t="str">
        <f t="shared" si="1"/>
        <v>[	37.983035	, -85.687075, 'Fulfillment/Distribution Center', '100 W. Thomas P. Echols Lane, Shepherdsville, KY'],</v>
      </c>
    </row>
    <row r="95" spans="1:5" x14ac:dyDescent="0.25">
      <c r="A95" s="16" t="s">
        <v>796</v>
      </c>
      <c r="B95" s="9" t="s">
        <v>111</v>
      </c>
      <c r="C95" s="6" t="s">
        <v>504</v>
      </c>
      <c r="D95" s="11" t="s">
        <v>4</v>
      </c>
      <c r="E95" s="1" t="str">
        <f t="shared" si="1"/>
        <v>[	39.04388	, -84.619353, 'Fulfillment/Distribution Center', '4620 Olympic Boulevard, Erlanger, KY'],</v>
      </c>
    </row>
    <row r="96" spans="1:5" x14ac:dyDescent="0.25">
      <c r="A96" s="16" t="s">
        <v>796</v>
      </c>
      <c r="B96" s="9" t="s">
        <v>112</v>
      </c>
      <c r="C96" s="6" t="s">
        <v>505</v>
      </c>
      <c r="D96" s="11" t="s">
        <v>4</v>
      </c>
      <c r="E96" s="1" t="str">
        <f t="shared" si="1"/>
        <v>[	39.056299	, -84.640452, 'Fulfillment/Distribution Center', '3521 Point Pleasant Road, Hebron, KY'],</v>
      </c>
    </row>
    <row r="97" spans="1:5" x14ac:dyDescent="0.25">
      <c r="A97" s="16" t="s">
        <v>796</v>
      </c>
      <c r="B97" s="9" t="s">
        <v>113</v>
      </c>
      <c r="C97" s="6" t="s">
        <v>506</v>
      </c>
      <c r="D97" s="11" t="s">
        <v>4</v>
      </c>
      <c r="E97" s="1" t="str">
        <f t="shared" si="1"/>
        <v>[	39.267217	, -76.549184, 'Fulfillment/Distribution Center', '2010 Broening Highway, Baltimore, MD'],</v>
      </c>
    </row>
    <row r="98" spans="1:5" x14ac:dyDescent="0.25">
      <c r="A98" s="16" t="s">
        <v>796</v>
      </c>
      <c r="B98" s="9" t="s">
        <v>114</v>
      </c>
      <c r="C98" s="6" t="s">
        <v>507</v>
      </c>
      <c r="D98" s="11" t="s">
        <v>4</v>
      </c>
      <c r="E98" s="1" t="str">
        <f t="shared" si="1"/>
        <v>[	39.436075	, -76.2162, 'Fulfillment/Distribution Center', '610 Chelsea Road, Aberdeen, MD'],</v>
      </c>
    </row>
    <row r="99" spans="1:5" ht="25.5" x14ac:dyDescent="0.25">
      <c r="A99" s="16" t="s">
        <v>796</v>
      </c>
      <c r="B99" s="9" t="s">
        <v>115</v>
      </c>
      <c r="C99" s="6" t="s">
        <v>508</v>
      </c>
      <c r="D99" s="11" t="s">
        <v>4</v>
      </c>
      <c r="E99" s="1" t="str">
        <f t="shared" si="1"/>
        <v>[	39.594521	, -76.003736, 'Fulfillment/Distribution Center', '600 Principio Parkway West, Cecil, North East, MD'],</v>
      </c>
    </row>
    <row r="100" spans="1:5" ht="25.5" x14ac:dyDescent="0.25">
      <c r="A100" s="16" t="s">
        <v>796</v>
      </c>
      <c r="B100" s="9" t="s">
        <v>116</v>
      </c>
      <c r="C100" s="6" t="s">
        <v>509</v>
      </c>
      <c r="D100" s="11" t="s">
        <v>4</v>
      </c>
      <c r="E100" s="1" t="str">
        <f t="shared" si="1"/>
        <v>[	39.594521	, -76.003737, 'Fulfillment/Distribution Center', '1700 Sparrows Point Boulevard, Sparrows Point, MD'],</v>
      </c>
    </row>
    <row r="101" spans="1:5" x14ac:dyDescent="0.25">
      <c r="A101" s="16" t="s">
        <v>796</v>
      </c>
      <c r="B101" s="9" t="s">
        <v>117</v>
      </c>
      <c r="C101" s="6" t="s">
        <v>510</v>
      </c>
      <c r="D101" s="11" t="s">
        <v>4</v>
      </c>
      <c r="E101" s="1" t="str">
        <f t="shared" si="1"/>
        <v>[	39.594521	, -76.003738, 'Fulfillment/Distribution Center', '1180 Innovation Way, Fall River, MA'],</v>
      </c>
    </row>
    <row r="102" spans="1:5" x14ac:dyDescent="0.25">
      <c r="A102" s="16" t="s">
        <v>796</v>
      </c>
      <c r="B102" s="9" t="s">
        <v>118</v>
      </c>
      <c r="C102" s="6" t="s">
        <v>511</v>
      </c>
      <c r="D102" s="11" t="s">
        <v>4</v>
      </c>
      <c r="E102" s="1" t="str">
        <f t="shared" si="1"/>
        <v>[	42.374384	, -83.427564, 'Fulfillment/Distribution Center', '39000 Amrhein Road, Livonia, MI'],</v>
      </c>
    </row>
    <row r="103" spans="1:5" x14ac:dyDescent="0.25">
      <c r="A103" s="16" t="s">
        <v>796</v>
      </c>
      <c r="B103" s="9" t="s">
        <v>119</v>
      </c>
      <c r="C103" s="6" t="s">
        <v>512</v>
      </c>
      <c r="D103" s="11" t="s">
        <v>4</v>
      </c>
      <c r="E103" s="1" t="str">
        <f t="shared" si="1"/>
        <v>[	42.252436	, -83.362562, 'Fulfillment/Distribution Center', '32801 Ecorse Road, Romulus, MI'],</v>
      </c>
    </row>
    <row r="104" spans="1:5" x14ac:dyDescent="0.25">
      <c r="A104" s="16" t="s">
        <v>796</v>
      </c>
      <c r="B104" s="9" t="s">
        <v>120</v>
      </c>
      <c r="C104" s="6" t="s">
        <v>513</v>
      </c>
      <c r="D104" s="11" t="s">
        <v>4</v>
      </c>
      <c r="E104" s="1" t="str">
        <f t="shared" si="1"/>
        <v>[	42.667323	, -83.048589, 'Fulfillment/Distribution Center', '50500 Mound Road, Shelby Township, MI'],</v>
      </c>
    </row>
    <row r="105" spans="1:5" x14ac:dyDescent="0.25">
      <c r="A105" s="16" t="s">
        <v>796</v>
      </c>
      <c r="B105" s="9" t="s">
        <v>121</v>
      </c>
      <c r="C105" s="6" t="s">
        <v>514</v>
      </c>
      <c r="D105" s="11" t="s">
        <v>4</v>
      </c>
      <c r="E105" s="1" t="str">
        <f t="shared" si="1"/>
        <v>[	42.840627	, -85.545687, 'Fulfillment/Distribution Center', '68th &amp; Patterson Ave, Caledonia, MI'],</v>
      </c>
    </row>
    <row r="106" spans="1:5" x14ac:dyDescent="0.25">
      <c r="A106" s="16" t="s">
        <v>796</v>
      </c>
      <c r="B106" s="9" t="s">
        <v>122</v>
      </c>
      <c r="C106" s="6" t="s">
        <v>515</v>
      </c>
      <c r="D106" s="11" t="s">
        <v>4</v>
      </c>
      <c r="E106" s="1" t="str">
        <f t="shared" si="1"/>
        <v>[	44.797695	, -93.486347, 'Fulfillment/Distribution Center', '2601 4th Ave E, Shakopee, MN'],</v>
      </c>
    </row>
    <row r="107" spans="1:5" x14ac:dyDescent="0.25">
      <c r="A107" s="16" t="s">
        <v>796</v>
      </c>
      <c r="B107" s="9" t="s">
        <v>123</v>
      </c>
      <c r="C107" s="6" t="s">
        <v>516</v>
      </c>
      <c r="D107" s="11" t="s">
        <v>4</v>
      </c>
      <c r="E107" s="1" t="str">
        <f t="shared" si="1"/>
        <v>[	45.120188	, -93.385036, 'Fulfillment/Distribution Center', '9001 Wyoming Avve N, Brooklyn Park, MN'],</v>
      </c>
    </row>
    <row r="108" spans="1:5" x14ac:dyDescent="0.25">
      <c r="A108" s="16" t="s">
        <v>796</v>
      </c>
      <c r="B108" s="9" t="s">
        <v>124</v>
      </c>
      <c r="C108" s="6" t="s">
        <v>517</v>
      </c>
      <c r="D108" s="11" t="s">
        <v>4</v>
      </c>
      <c r="E108" s="1" t="str">
        <f t="shared" si="1"/>
        <v>[	38.809592	, -90.573827, 'Fulfillment/Distribution Center', '4000 Premier Parkway, St Peters, MO'],</v>
      </c>
    </row>
    <row r="109" spans="1:5" x14ac:dyDescent="0.25">
      <c r="A109" s="16" t="s">
        <v>796</v>
      </c>
      <c r="B109" s="9" t="s">
        <v>125</v>
      </c>
      <c r="C109" s="6" t="s">
        <v>518</v>
      </c>
      <c r="D109" s="11" t="s">
        <v>4</v>
      </c>
      <c r="E109" s="1" t="str">
        <f t="shared" si="1"/>
        <v>[	36.22878	, -115.105535, 'Fulfillment/Distribution Center', '3837 Bay Lake Trail, North Las Vegas, NV'],</v>
      </c>
    </row>
    <row r="110" spans="1:5" x14ac:dyDescent="0.25">
      <c r="A110" s="16" t="s">
        <v>796</v>
      </c>
      <c r="B110" s="9" t="s">
        <v>126</v>
      </c>
      <c r="C110" s="6" t="s">
        <v>519</v>
      </c>
      <c r="D110" s="11" t="s">
        <v>4</v>
      </c>
      <c r="E110" s="1" t="str">
        <f t="shared" si="1"/>
        <v>[	36.26688	, -115.0744, 'Fulfillment/Distribution Center', '4550 Nexus Way, North Las Vegas, NV'],</v>
      </c>
    </row>
    <row r="111" spans="1:5" x14ac:dyDescent="0.25">
      <c r="A111" s="16" t="s">
        <v>796</v>
      </c>
      <c r="B111" s="9" t="s">
        <v>127</v>
      </c>
      <c r="C111" s="6" t="s">
        <v>520</v>
      </c>
      <c r="D111" s="11" t="s">
        <v>4</v>
      </c>
      <c r="E111" s="1" t="str">
        <f t="shared" si="1"/>
        <v>[	39.551514	, -119.454131, 'Fulfillment/Distribution Center', '555 Milan Drive, Sparks, NV'],</v>
      </c>
    </row>
    <row r="112" spans="1:5" x14ac:dyDescent="0.25">
      <c r="A112" s="16" t="s">
        <v>796</v>
      </c>
      <c r="B112" s="9" t="s">
        <v>128</v>
      </c>
      <c r="C112" s="6" t="s">
        <v>521</v>
      </c>
      <c r="D112" s="11" t="s">
        <v>4</v>
      </c>
      <c r="E112" s="1" t="str">
        <f t="shared" si="1"/>
        <v>[	39.603749	, -119.848613, 'Fulfillment/Distribution Center', '8000 North Virginia Street, Reno, NV'],</v>
      </c>
    </row>
    <row r="113" spans="1:5" x14ac:dyDescent="0.25">
      <c r="A113" s="16" t="s">
        <v>796</v>
      </c>
      <c r="B113" s="9" t="s">
        <v>129</v>
      </c>
      <c r="C113" s="6" t="s">
        <v>522</v>
      </c>
      <c r="D113" s="11" t="s">
        <v>4</v>
      </c>
      <c r="E113" s="1" t="str">
        <f t="shared" si="1"/>
        <v>[	36.184821	, -115.0438, 'Fulfillment/Distribution Center', 'Sloan Lane, North Las Vegas, NV'],</v>
      </c>
    </row>
    <row r="114" spans="1:5" x14ac:dyDescent="0.25">
      <c r="A114" s="16" t="s">
        <v>796</v>
      </c>
      <c r="B114" s="9" t="s">
        <v>130</v>
      </c>
      <c r="C114" s="6" t="s">
        <v>523</v>
      </c>
      <c r="D114" s="11" t="s">
        <v>4</v>
      </c>
      <c r="E114" s="1" t="str">
        <f t="shared" si="1"/>
        <v>[	40.195624	, -74.565155, 'Fulfillment/Distribution Center', '50 New Canton Way, Robbinsville, NJ'],</v>
      </c>
    </row>
    <row r="115" spans="1:5" s="7" customFormat="1" x14ac:dyDescent="0.25">
      <c r="A115" s="16" t="s">
        <v>796</v>
      </c>
      <c r="B115" s="9" t="s">
        <v>131</v>
      </c>
      <c r="C115" s="6" t="s">
        <v>524</v>
      </c>
      <c r="D115" s="11" t="s">
        <v>4</v>
      </c>
      <c r="E115" s="1" t="str">
        <f t="shared" si="1"/>
        <v>[	40.202861	, -74.578182, 'Fulfillment/Distribution Center', '18 Applegate Drive, Robbinsville, NJ'],</v>
      </c>
    </row>
    <row r="116" spans="1:5" s="7" customFormat="1" x14ac:dyDescent="0.25">
      <c r="A116" s="16" t="s">
        <v>796</v>
      </c>
      <c r="B116" s="9" t="s">
        <v>132</v>
      </c>
      <c r="C116" s="6" t="s">
        <v>525</v>
      </c>
      <c r="D116" s="11" t="s">
        <v>4</v>
      </c>
      <c r="E116" s="1" t="str">
        <f t="shared" si="1"/>
        <v>[	40.864531	, -74.058243, 'Fulfillment/Distribution Center', '698 Route 46 West, Teterboro, NJ'],</v>
      </c>
    </row>
    <row r="117" spans="1:5" s="7" customFormat="1" x14ac:dyDescent="0.25">
      <c r="A117" s="16" t="s">
        <v>796</v>
      </c>
      <c r="B117" s="9" t="s">
        <v>133</v>
      </c>
      <c r="C117" s="6" t="s">
        <v>526</v>
      </c>
      <c r="D117" s="11" t="s">
        <v>4</v>
      </c>
      <c r="E117" s="1" t="str">
        <f t="shared" si="1"/>
        <v>[	40.595238	, -74.224901, 'Fulfillment/Distribution Center', '8003 Industrial Ave, Carteret, NJ'],</v>
      </c>
    </row>
    <row r="118" spans="1:5" s="7" customFormat="1" x14ac:dyDescent="0.25">
      <c r="A118" s="16" t="s">
        <v>796</v>
      </c>
      <c r="B118" s="9" t="s">
        <v>134</v>
      </c>
      <c r="C118" s="6" t="s">
        <v>527</v>
      </c>
      <c r="D118" s="11" t="s">
        <v>4</v>
      </c>
      <c r="E118" s="1" t="str">
        <f t="shared" si="1"/>
        <v>[	40.528464	, -74.380935, 'Fulfillment/Distribution Center', '2170 Lincoln Highway, Edison, NJ'],</v>
      </c>
    </row>
    <row r="119" spans="1:5" s="7" customFormat="1" x14ac:dyDescent="0.25">
      <c r="A119" s="16" t="s">
        <v>796</v>
      </c>
      <c r="B119" s="9" t="s">
        <v>135</v>
      </c>
      <c r="C119" s="6" t="s">
        <v>528</v>
      </c>
      <c r="D119" s="11" t="s">
        <v>4</v>
      </c>
      <c r="E119" s="1" t="str">
        <f t="shared" si="1"/>
        <v>[	40.085263	, -74.840821, 'Fulfillment/Distribution Center', '1101 E Pearl Street, Burlington, NJ'],</v>
      </c>
    </row>
    <row r="120" spans="1:5" s="7" customFormat="1" ht="25.5" x14ac:dyDescent="0.25">
      <c r="A120" s="16" t="s">
        <v>796</v>
      </c>
      <c r="B120" s="9" t="s">
        <v>136</v>
      </c>
      <c r="C120" s="6" t="s">
        <v>529</v>
      </c>
      <c r="D120" s="11" t="s">
        <v>4</v>
      </c>
      <c r="E120" s="1" t="str">
        <f t="shared" si="1"/>
        <v>[	40.292462	, -74.502229, 'Fulfillment/Distribution Center', '22 Hightstown-Cranbury Station Road, Cranbury Township, NJ'],</v>
      </c>
    </row>
    <row r="121" spans="1:5" s="7" customFormat="1" x14ac:dyDescent="0.25">
      <c r="A121" s="16" t="s">
        <v>796</v>
      </c>
      <c r="B121" s="9" t="s">
        <v>137</v>
      </c>
      <c r="C121" s="6" t="s">
        <v>530</v>
      </c>
      <c r="D121" s="11" t="s">
        <v>4</v>
      </c>
      <c r="E121" s="1" t="str">
        <f t="shared" si="1"/>
        <v>[	39.754213	, -75.379252, 'Fulfillment/Distribution Center', '2651 Oldmans Creek Road, Logan Township, NJ'],</v>
      </c>
    </row>
    <row r="122" spans="1:5" s="7" customFormat="1" x14ac:dyDescent="0.25">
      <c r="A122" s="16" t="s">
        <v>796</v>
      </c>
      <c r="B122" s="9" t="s">
        <v>138</v>
      </c>
      <c r="C122" s="6" t="s">
        <v>531</v>
      </c>
      <c r="D122" s="11" t="s">
        <v>4</v>
      </c>
      <c r="E122" s="1" t="str">
        <f t="shared" si="1"/>
        <v>[	39.823776	, -75.217192, 'Fulfillment/Distribution Center', '240 Mantua Grove Road, West Deptford, NJ'],</v>
      </c>
    </row>
    <row r="123" spans="1:5" s="7" customFormat="1" x14ac:dyDescent="0.25">
      <c r="A123" s="16" t="s">
        <v>796</v>
      </c>
      <c r="B123" s="9" t="s">
        <v>139</v>
      </c>
      <c r="C123" s="6" t="s">
        <v>532</v>
      </c>
      <c r="D123" s="11" t="s">
        <v>4</v>
      </c>
      <c r="E123" s="1" t="str">
        <f t="shared" si="1"/>
        <v>[	40.614421	, -74.179738, 'Fulfillment/Distribution Center', '546 Gulf Ave, Staten Island, NY'],</v>
      </c>
    </row>
    <row r="124" spans="1:5" s="7" customFormat="1" x14ac:dyDescent="0.25">
      <c r="A124" s="16" t="s">
        <v>796</v>
      </c>
      <c r="B124" s="9" t="s">
        <v>140</v>
      </c>
      <c r="C124" s="6" t="s">
        <v>533</v>
      </c>
      <c r="D124" s="11" t="s">
        <v>4</v>
      </c>
      <c r="E124" s="1" t="str">
        <f t="shared" si="1"/>
        <v>[	42.519633	, -73.688876, 'Fulfillment/Distribution Center', 'Interstate 90, Schodack, NY'],</v>
      </c>
    </row>
    <row r="125" spans="1:5" s="7" customFormat="1" ht="25.5" x14ac:dyDescent="0.25">
      <c r="A125" s="16" t="s">
        <v>796</v>
      </c>
      <c r="B125" s="9" t="s">
        <v>141</v>
      </c>
      <c r="C125" s="6" t="s">
        <v>534</v>
      </c>
      <c r="D125" s="11" t="s">
        <v>4</v>
      </c>
      <c r="E125" s="1" t="str">
        <f t="shared" si="1"/>
        <v>[	41.526094	, -74.134304, 'Fulfillment/Distribution Center', 'Highway 17k at International Boulevard, Montgomery, NY'],</v>
      </c>
    </row>
    <row r="126" spans="1:5" s="7" customFormat="1" x14ac:dyDescent="0.25">
      <c r="A126" s="16" t="s">
        <v>796</v>
      </c>
      <c r="B126" s="9" t="s">
        <v>142</v>
      </c>
      <c r="C126" s="6" t="s">
        <v>535</v>
      </c>
      <c r="D126" s="11" t="s">
        <v>4</v>
      </c>
      <c r="E126" s="1" t="str">
        <f t="shared" si="1"/>
        <v>[	35.436965	, -80.686389, 'Fulfillment/Distribution Center', '6500 Davidson Highway, Concord, NC'],</v>
      </c>
    </row>
    <row r="127" spans="1:5" s="7" customFormat="1" x14ac:dyDescent="0.25">
      <c r="A127" s="16" t="s">
        <v>796</v>
      </c>
      <c r="B127" s="9" t="s">
        <v>143</v>
      </c>
      <c r="C127" s="6" t="s">
        <v>536</v>
      </c>
      <c r="D127" s="11" t="s">
        <v>4</v>
      </c>
      <c r="E127" s="1" t="str">
        <f t="shared" si="1"/>
        <v>[	36.103901	, -80.064899, 'Fulfillment/Distribution Center', 'Triad Business Park, Kernersville, NC'],</v>
      </c>
    </row>
    <row r="128" spans="1:5" s="7" customFormat="1" ht="25.5" x14ac:dyDescent="0.25">
      <c r="A128" s="16" t="s">
        <v>796</v>
      </c>
      <c r="B128" s="9" t="s">
        <v>144</v>
      </c>
      <c r="C128" s="6" t="s">
        <v>537</v>
      </c>
      <c r="D128" s="11" t="s">
        <v>4</v>
      </c>
      <c r="E128" s="1" t="str">
        <f t="shared" si="1"/>
        <v>[	35.245149	, -80.917656, 'Fulfillment/Distribution Center', 'Tuckaseegee Road &amp; Industrial Drive, Charlotte, NC'],</v>
      </c>
    </row>
    <row r="129" spans="1:5" s="7" customFormat="1" x14ac:dyDescent="0.25">
      <c r="A129" s="16" t="s">
        <v>796</v>
      </c>
      <c r="B129" s="9" t="s">
        <v>145</v>
      </c>
      <c r="C129" s="6" t="s">
        <v>538</v>
      </c>
      <c r="D129" s="11" t="s">
        <v>4</v>
      </c>
      <c r="E129" s="1" t="str">
        <f t="shared" si="1"/>
        <v>[	35.716041	, -78.588259, 'Fulfillment/Distribution Center', '4851 Jones Sausage Road, Garner, NC'],</v>
      </c>
    </row>
    <row r="130" spans="1:5" s="7" customFormat="1" x14ac:dyDescent="0.25">
      <c r="A130" s="16" t="s">
        <v>796</v>
      </c>
      <c r="B130" s="9" t="s">
        <v>146</v>
      </c>
      <c r="C130" s="6" t="s">
        <v>539</v>
      </c>
      <c r="D130" s="11" t="s">
        <v>4</v>
      </c>
      <c r="E130" s="1" t="str">
        <f t="shared" si="1"/>
        <v>[	39.954081	, -82.713262, 'Fulfillment/Distribution Center', '11903 National Road SW, Etna, OH'],</v>
      </c>
    </row>
    <row r="131" spans="1:5" x14ac:dyDescent="0.25">
      <c r="A131" s="16" t="s">
        <v>796</v>
      </c>
      <c r="B131" s="9" t="s">
        <v>147</v>
      </c>
      <c r="C131" s="6" t="s">
        <v>540</v>
      </c>
      <c r="D131" s="11" t="s">
        <v>4</v>
      </c>
      <c r="E131" s="1" t="str">
        <f t="shared" ref="E131:E194" si="2">IF(ISBLANK($C131), "", "[" &amp; C131 &amp; ", '" &amp; A131 &amp; "', '" &amp; B131 &amp; "']" &amp; IF(E132 = "", "", ","))</f>
        <v>[	39.883824	, -82.934612, 'Fulfillment/Distribution Center', '6050 Gateway Court, Obetz, OH'],</v>
      </c>
    </row>
    <row r="132" spans="1:5" x14ac:dyDescent="0.25">
      <c r="A132" s="16" t="s">
        <v>796</v>
      </c>
      <c r="B132" s="9" t="s">
        <v>148</v>
      </c>
      <c r="C132" s="6" t="s">
        <v>541</v>
      </c>
      <c r="D132" s="11" t="s">
        <v>4</v>
      </c>
      <c r="E132" s="1" t="str">
        <f t="shared" si="2"/>
        <v>[	41.435052	, -81.5285, 'Fulfillment/Distribution Center', '21500 Emery Road, Cuyahoga, OH'],</v>
      </c>
    </row>
    <row r="133" spans="1:5" x14ac:dyDescent="0.25">
      <c r="A133" s="16" t="s">
        <v>796</v>
      </c>
      <c r="B133" s="9" t="s">
        <v>149</v>
      </c>
      <c r="C133" s="6" t="s">
        <v>542</v>
      </c>
      <c r="D133" s="11" t="s">
        <v>4</v>
      </c>
      <c r="E133" s="1" t="str">
        <f t="shared" si="2"/>
        <v>[	39.430513	, -84.324326, 'Fulfillment/Distribution Center', '700 Gateway Boulevard, Monroe, OH'],</v>
      </c>
    </row>
    <row r="134" spans="1:5" x14ac:dyDescent="0.25">
      <c r="A134" s="16" t="s">
        <v>796</v>
      </c>
      <c r="B134" s="9" t="s">
        <v>150</v>
      </c>
      <c r="C134" s="6" t="s">
        <v>543</v>
      </c>
      <c r="D134" s="11" t="s">
        <v>4</v>
      </c>
      <c r="E134" s="1" t="str">
        <f t="shared" si="2"/>
        <v>[	41.597284	, -81.503845, 'Fulfillment/Distribution Center', '100 Euclid Square Mall, Euclid, OH'],</v>
      </c>
    </row>
    <row r="135" spans="1:5" x14ac:dyDescent="0.25">
      <c r="A135" s="16" t="s">
        <v>796</v>
      </c>
      <c r="B135" s="9" t="s">
        <v>151</v>
      </c>
      <c r="C135" s="6" t="s">
        <v>544</v>
      </c>
      <c r="D135" s="11" t="s">
        <v>4</v>
      </c>
      <c r="E135" s="1" t="str">
        <f t="shared" si="2"/>
        <v>[	39.942808	, -83.306538, 'Fulfillment/Distribution Center', 'US 40 and 29, West Jefferson, OH'],</v>
      </c>
    </row>
    <row r="136" spans="1:5" ht="25.5" x14ac:dyDescent="0.25">
      <c r="A136" s="16" t="s">
        <v>796</v>
      </c>
      <c r="B136" s="9" t="s">
        <v>152</v>
      </c>
      <c r="C136" s="6" t="s">
        <v>545</v>
      </c>
      <c r="D136" s="11" t="s">
        <v>4</v>
      </c>
      <c r="E136" s="1" t="str">
        <f t="shared" si="2"/>
        <v>[	36.217455	, -95.847553, 'Fulfillment/Distribution Center', '43rd Street North and 126th East Avenue, Tulsa, OK'],</v>
      </c>
    </row>
    <row r="137" spans="1:5" x14ac:dyDescent="0.25">
      <c r="A137" s="16" t="s">
        <v>796</v>
      </c>
      <c r="B137" s="9" t="s">
        <v>153</v>
      </c>
      <c r="C137" s="6" t="s">
        <v>546</v>
      </c>
      <c r="D137" s="11" t="s">
        <v>4</v>
      </c>
      <c r="E137" s="1" t="str">
        <f t="shared" si="2"/>
        <v>[	35.374029	, -97.578192, 'Fulfillment/Distribution Center', '9201 S Portland Ave, Oklahoma City, OK'],</v>
      </c>
    </row>
    <row r="138" spans="1:5" x14ac:dyDescent="0.25">
      <c r="A138" s="16" t="s">
        <v>796</v>
      </c>
      <c r="B138" s="9" t="s">
        <v>154</v>
      </c>
      <c r="C138" s="6" t="s">
        <v>547</v>
      </c>
      <c r="D138" s="11" t="s">
        <v>4</v>
      </c>
      <c r="E138" s="1" t="str">
        <f t="shared" si="2"/>
        <v>[	45.55389	, -122.39969, 'Fulfillment/Distribution Center', '1250 NW Swigert Way, Troutdale, OR'],</v>
      </c>
    </row>
    <row r="139" spans="1:5" x14ac:dyDescent="0.25">
      <c r="A139" s="16" t="s">
        <v>796</v>
      </c>
      <c r="B139" s="9" t="s">
        <v>155</v>
      </c>
      <c r="C139" s="6" t="s">
        <v>548</v>
      </c>
      <c r="D139" s="11" t="s">
        <v>4</v>
      </c>
      <c r="E139" s="1" t="str">
        <f t="shared" si="2"/>
        <v>[	44.902593	, -122.961474, 'Fulfillment/Distribution Center', '4775 Depot Court SE, Salem, OR'],</v>
      </c>
    </row>
    <row r="140" spans="1:5" x14ac:dyDescent="0.25">
      <c r="A140" s="16" t="s">
        <v>796</v>
      </c>
      <c r="B140" s="9" t="s">
        <v>156</v>
      </c>
      <c r="C140" s="6" t="s">
        <v>549</v>
      </c>
      <c r="D140" s="11" t="s">
        <v>4</v>
      </c>
      <c r="E140" s="1" t="str">
        <f t="shared" si="2"/>
        <v>[	45.63365	, -122.771597, 'Fulfillment/Distribution Center', '15000 N Lombard Street, Portland, OR'],</v>
      </c>
    </row>
    <row r="141" spans="1:5" x14ac:dyDescent="0.25">
      <c r="A141" s="16" t="s">
        <v>796</v>
      </c>
      <c r="B141" s="9" t="s">
        <v>157</v>
      </c>
      <c r="C141" s="6" t="s">
        <v>550</v>
      </c>
      <c r="D141" s="11" t="s">
        <v>4</v>
      </c>
      <c r="E141" s="1" t="str">
        <f t="shared" si="2"/>
        <v>[	40.558397	, -75.613898, 'Fulfillment/Distribution Center', '705 Boulder Drive, Breinigsville, PA'],</v>
      </c>
    </row>
    <row r="142" spans="1:5" x14ac:dyDescent="0.25">
      <c r="A142" s="16" t="s">
        <v>796</v>
      </c>
      <c r="B142" s="9" t="s">
        <v>158</v>
      </c>
      <c r="C142" s="6" t="s">
        <v>551</v>
      </c>
      <c r="D142" s="11" t="s">
        <v>4</v>
      </c>
      <c r="E142" s="1" t="str">
        <f t="shared" si="2"/>
        <v>[	40.556289	, -75.621695, 'Fulfillment/Distribution Center', '650 Boulder Drive, Breinigsville, PA'],</v>
      </c>
    </row>
    <row r="143" spans="1:5" x14ac:dyDescent="0.25">
      <c r="A143" s="16" t="s">
        <v>796</v>
      </c>
      <c r="B143" s="9" t="s">
        <v>159</v>
      </c>
      <c r="C143" s="6" t="s">
        <v>552</v>
      </c>
      <c r="D143" s="11" t="s">
        <v>4</v>
      </c>
      <c r="E143" s="1" t="str">
        <f t="shared" si="2"/>
        <v>[	41.265538	, -75.498086, 'Fulfillment/Distribution Center', '298 1st Avenue, Gouldsboro, PA'],</v>
      </c>
    </row>
    <row r="144" spans="1:5" s="7" customFormat="1" x14ac:dyDescent="0.25">
      <c r="A144" s="16" t="s">
        <v>796</v>
      </c>
      <c r="B144" s="9" t="s">
        <v>160</v>
      </c>
      <c r="C144" s="6" t="s">
        <v>553</v>
      </c>
      <c r="D144" s="11" t="s">
        <v>4</v>
      </c>
      <c r="E144" s="1" t="str">
        <f t="shared" si="2"/>
        <v>[	40.226746	, -77.113228, 'Fulfillment/Distribution Center', '21 Roadway Drive, Carlisle, PA'],</v>
      </c>
    </row>
    <row r="145" spans="1:5" s="7" customFormat="1" x14ac:dyDescent="0.25">
      <c r="A145" s="16" t="s">
        <v>796</v>
      </c>
      <c r="B145" s="9" t="s">
        <v>161</v>
      </c>
      <c r="C145" s="6" t="s">
        <v>554</v>
      </c>
      <c r="D145" s="11" t="s">
        <v>4</v>
      </c>
      <c r="E145" s="1" t="str">
        <f t="shared" si="2"/>
        <v>[	40.171393	, -76.837139, 'Fulfillment/Distribution Center', '500 McCarthy Drive, Lewisberry, PA'],</v>
      </c>
    </row>
    <row r="146" spans="1:5" s="7" customFormat="1" x14ac:dyDescent="0.25">
      <c r="A146" s="16" t="s">
        <v>796</v>
      </c>
      <c r="B146" s="9" t="s">
        <v>162</v>
      </c>
      <c r="C146" s="6" t="s">
        <v>555</v>
      </c>
      <c r="D146" s="11" t="s">
        <v>4</v>
      </c>
      <c r="E146" s="1" t="str">
        <f t="shared" si="2"/>
        <v>[	40.175261	, -77.231534, 'Fulfillment/Distribution Center', '675 Allen Road, Carlisle, PA'],</v>
      </c>
    </row>
    <row r="147" spans="1:5" s="7" customFormat="1" x14ac:dyDescent="0.25">
      <c r="A147" s="16" t="s">
        <v>796</v>
      </c>
      <c r="B147" s="9" t="s">
        <v>163</v>
      </c>
      <c r="C147" s="6" t="s">
        <v>556</v>
      </c>
      <c r="D147" s="11" t="s">
        <v>4</v>
      </c>
      <c r="E147" s="1" t="str">
        <f t="shared" si="2"/>
        <v>[	40.325288	, -76.772454, 'Fulfillment/Distribution Center', '6455 Allentown Boulevard, Harrisburg, PA'],</v>
      </c>
    </row>
    <row r="148" spans="1:5" s="7" customFormat="1" x14ac:dyDescent="0.25">
      <c r="A148" s="16" t="s">
        <v>796</v>
      </c>
      <c r="B148" s="9" t="s">
        <v>164</v>
      </c>
      <c r="C148" s="6" t="s">
        <v>557</v>
      </c>
      <c r="D148" s="11" t="s">
        <v>4</v>
      </c>
      <c r="E148" s="1" t="str">
        <f t="shared" si="2"/>
        <v>[	40.189347	, -77.225738, 'Fulfillment/Distribution Center', '40 Logistics Drive, Carlisle, PA'],</v>
      </c>
    </row>
    <row r="149" spans="1:5" s="7" customFormat="1" x14ac:dyDescent="0.25">
      <c r="A149" s="16" t="s">
        <v>796</v>
      </c>
      <c r="B149" s="9" t="s">
        <v>165</v>
      </c>
      <c r="C149" s="6" t="s">
        <v>558</v>
      </c>
      <c r="D149" s="11" t="s">
        <v>4</v>
      </c>
      <c r="E149" s="1" t="str">
        <f t="shared" si="2"/>
        <v>[	40.584837	, -75.698865, 'Fulfillment/Distribution Center', '9645 West Hills Ct, Kutztown, PA'],</v>
      </c>
    </row>
    <row r="150" spans="1:5" s="7" customFormat="1" x14ac:dyDescent="0.25">
      <c r="A150" s="16" t="s">
        <v>796</v>
      </c>
      <c r="B150" s="9" t="s">
        <v>166</v>
      </c>
      <c r="C150" s="6" t="s">
        <v>559</v>
      </c>
      <c r="D150" s="11" t="s">
        <v>4</v>
      </c>
      <c r="E150" s="1" t="str">
        <f t="shared" si="2"/>
        <v>[	40.166347	, -77.241679, 'Fulfillment/Distribution Center', '2 Ames Drive, Carlisle, PA'],</v>
      </c>
    </row>
    <row r="151" spans="1:5" s="7" customFormat="1" x14ac:dyDescent="0.25">
      <c r="A151" s="16" t="s">
        <v>796</v>
      </c>
      <c r="B151" s="9" t="s">
        <v>167</v>
      </c>
      <c r="C151" s="6" t="s">
        <v>560</v>
      </c>
      <c r="D151" s="11" t="s">
        <v>4</v>
      </c>
      <c r="E151" s="1" t="str">
        <f t="shared" si="2"/>
        <v>[	40.740328	, -75.277411, 'Fulfillment/Distribution Center', '1610 Van Buren Road, Palmer Township, PA'],</v>
      </c>
    </row>
    <row r="152" spans="1:5" s="7" customFormat="1" x14ac:dyDescent="0.25">
      <c r="A152" s="16" t="s">
        <v>796</v>
      </c>
      <c r="B152" s="9" t="s">
        <v>168</v>
      </c>
      <c r="C152" s="6" t="s">
        <v>561</v>
      </c>
      <c r="D152" s="11" t="s">
        <v>4</v>
      </c>
      <c r="E152" s="1" t="str">
        <f t="shared" si="2"/>
        <v>[	41.313029	, -75.770971, 'Fulfillment/Distribution Center', '250 Enterprise Way, Pittston, PA'],</v>
      </c>
    </row>
    <row r="153" spans="1:5" s="7" customFormat="1" x14ac:dyDescent="0.25">
      <c r="A153" s="16" t="s">
        <v>796</v>
      </c>
      <c r="B153" s="9" t="s">
        <v>169</v>
      </c>
      <c r="C153" s="6" t="s">
        <v>562</v>
      </c>
      <c r="D153" s="11" t="s">
        <v>4</v>
      </c>
      <c r="E153" s="1" t="str">
        <f t="shared" si="2"/>
        <v>[	40.124567	, -75.397505, 'Fulfillment/Distribution Center', '2455 Boulevard of the Generals, Norristown, PA'],</v>
      </c>
    </row>
    <row r="154" spans="1:5" s="7" customFormat="1" x14ac:dyDescent="0.25">
      <c r="A154" s="16" t="s">
        <v>796</v>
      </c>
      <c r="B154" s="9" t="s">
        <v>170</v>
      </c>
      <c r="C154" s="6" t="s">
        <v>563</v>
      </c>
      <c r="D154" s="11" t="s">
        <v>4</v>
      </c>
      <c r="E154" s="1" t="str">
        <f t="shared" si="2"/>
        <v>[	33.911244	, -81.05028, 'Fulfillment/Distribution Center', '4400 12 Street Expansion, West Columbia, SC'],</v>
      </c>
    </row>
    <row r="155" spans="1:5" s="7" customFormat="1" x14ac:dyDescent="0.25">
      <c r="A155" s="16" t="s">
        <v>796</v>
      </c>
      <c r="B155" s="9" t="s">
        <v>171</v>
      </c>
      <c r="C155" s="6" t="s">
        <v>564</v>
      </c>
      <c r="D155" s="11" t="s">
        <v>4</v>
      </c>
      <c r="E155" s="1" t="str">
        <f t="shared" si="2"/>
        <v>[	33.895101	, -81.039167, 'Fulfillment/Distribution Center', '222 Old Wire Road, West Columbia, SC'],</v>
      </c>
    </row>
    <row r="156" spans="1:5" s="7" customFormat="1" x14ac:dyDescent="0.25">
      <c r="A156" s="16" t="s">
        <v>796</v>
      </c>
      <c r="B156" s="9" t="s">
        <v>172</v>
      </c>
      <c r="C156" s="6" t="s">
        <v>565</v>
      </c>
      <c r="D156" s="11" t="s">
        <v>4</v>
      </c>
      <c r="E156" s="1" t="str">
        <f t="shared" si="2"/>
        <v>[	35.007777	, -82.034862, 'Fulfillment/Distribution Center', '402 John Dodd Road, Spartanburg, SC'],</v>
      </c>
    </row>
    <row r="157" spans="1:5" s="7" customFormat="1" x14ac:dyDescent="0.25">
      <c r="A157" s="16" t="s">
        <v>796</v>
      </c>
      <c r="B157" s="9" t="s">
        <v>173</v>
      </c>
      <c r="C157" s="6" t="s">
        <v>566</v>
      </c>
      <c r="D157" s="11" t="s">
        <v>4</v>
      </c>
      <c r="E157" s="1" t="str">
        <f t="shared" si="2"/>
        <v>[	36.132973	, -86.405575, 'Fulfillment/Distribution Center', '14840 Central Pike, Lebanon, TN'],</v>
      </c>
    </row>
    <row r="158" spans="1:5" s="7" customFormat="1" x14ac:dyDescent="0.25">
      <c r="A158" s="16" t="s">
        <v>796</v>
      </c>
      <c r="B158" s="9" t="s">
        <v>174</v>
      </c>
      <c r="C158" s="6" t="s">
        <v>567</v>
      </c>
      <c r="D158" s="11" t="s">
        <v>4</v>
      </c>
      <c r="E158" s="1" t="str">
        <f t="shared" si="2"/>
        <v>[	36.118774	, -86.409988, 'Fulfillment/Distribution Center', '500 Duke Drive, Lebanon, TN'],</v>
      </c>
    </row>
    <row r="159" spans="1:5" s="7" customFormat="1" x14ac:dyDescent="0.25">
      <c r="A159" s="16" t="s">
        <v>796</v>
      </c>
      <c r="B159" s="9" t="s">
        <v>175</v>
      </c>
      <c r="C159" s="6" t="s">
        <v>568</v>
      </c>
      <c r="D159" s="11" t="s">
        <v>4</v>
      </c>
      <c r="E159" s="1" t="str">
        <f t="shared" si="2"/>
        <v>[	35.77765	, -86.36397, 'Fulfillment/Distribution Center', '2020 Joe B Jackson Parkway, Murfreesboro, TN'],</v>
      </c>
    </row>
    <row r="160" spans="1:5" s="7" customFormat="1" x14ac:dyDescent="0.25">
      <c r="A160" s="16" t="s">
        <v>796</v>
      </c>
      <c r="B160" s="9" t="s">
        <v>176</v>
      </c>
      <c r="C160" s="6" t="s">
        <v>569</v>
      </c>
      <c r="D160" s="11" t="s">
        <v>4</v>
      </c>
      <c r="E160" s="1" t="str">
        <f t="shared" si="2"/>
        <v>[	35.068898	, -85.141641, 'Fulfillment/Distribution Center', '7200 Discovery Drive, Chattanooga, TN'],</v>
      </c>
    </row>
    <row r="161" spans="1:5" s="7" customFormat="1" x14ac:dyDescent="0.25">
      <c r="A161" s="16" t="s">
        <v>796</v>
      </c>
      <c r="B161" s="9" t="s">
        <v>177</v>
      </c>
      <c r="C161" s="6" t="s">
        <v>570</v>
      </c>
      <c r="D161" s="11" t="s">
        <v>4</v>
      </c>
      <c r="E161" s="1" t="str">
        <f t="shared" si="2"/>
        <v>[	35.282801	, -84.812961, 'Fulfillment/Distribution Center', '225 Infinity Drive NW, Charleston, TN'],</v>
      </c>
    </row>
    <row r="162" spans="1:5" s="7" customFormat="1" x14ac:dyDescent="0.25">
      <c r="A162" s="16" t="s">
        <v>796</v>
      </c>
      <c r="B162" s="9" t="s">
        <v>178</v>
      </c>
      <c r="C162" s="6" t="s">
        <v>571</v>
      </c>
      <c r="D162" s="11" t="s">
        <v>4</v>
      </c>
      <c r="E162" s="1" t="str">
        <f t="shared" si="2"/>
        <v>[	35.008146	, -89.909261, 'Fulfillment/Distribution Center', '5155 Citation Drive, Memphis, TN'],</v>
      </c>
    </row>
    <row r="163" spans="1:5" s="7" customFormat="1" x14ac:dyDescent="0.25">
      <c r="A163" s="16" t="s">
        <v>796</v>
      </c>
      <c r="B163" s="9" t="s">
        <v>179</v>
      </c>
      <c r="C163" s="6" t="s">
        <v>572</v>
      </c>
      <c r="D163" s="11" t="s">
        <v>4</v>
      </c>
      <c r="E163" s="1" t="str">
        <f t="shared" si="2"/>
        <v>[	32.958606	, -97.016916, 'Fulfillment/Distribution Center', '940 W Bethel Road, Coppell, TX'],</v>
      </c>
    </row>
    <row r="164" spans="1:5" s="7" customFormat="1" x14ac:dyDescent="0.25">
      <c r="A164" s="16" t="s">
        <v>796</v>
      </c>
      <c r="B164" s="9" t="s">
        <v>180</v>
      </c>
      <c r="C164" s="6" t="s">
        <v>573</v>
      </c>
      <c r="D164" s="11" t="s">
        <v>4</v>
      </c>
      <c r="E164" s="1" t="str">
        <f t="shared" si="2"/>
        <v>[	32.97053	, -97.335758, 'Fulfillment/Distribution Center', '700 Westport Parkway, Fort Worth, TX'],</v>
      </c>
    </row>
    <row r="165" spans="1:5" s="7" customFormat="1" x14ac:dyDescent="0.25">
      <c r="A165" s="16" t="s">
        <v>796</v>
      </c>
      <c r="B165" s="9" t="s">
        <v>181</v>
      </c>
      <c r="C165" s="6" t="s">
        <v>574</v>
      </c>
      <c r="D165" s="11" t="s">
        <v>4</v>
      </c>
      <c r="E165" s="1" t="str">
        <f t="shared" si="2"/>
        <v>[	33.002529	, -97.295562, 'Fulfillment/Distribution Center', '15201 Heritage Parkway, Fort Worth, TX'],</v>
      </c>
    </row>
    <row r="166" spans="1:5" s="7" customFormat="1" x14ac:dyDescent="0.25">
      <c r="A166" s="16" t="s">
        <v>796</v>
      </c>
      <c r="B166" s="9" t="s">
        <v>182</v>
      </c>
      <c r="C166" s="6" t="s">
        <v>575</v>
      </c>
      <c r="D166" s="11" t="s">
        <v>4</v>
      </c>
      <c r="E166" s="1" t="str">
        <f t="shared" si="2"/>
        <v>[	32.818379	, -97.04308, 'Fulfillment/Distribution Center', '14900 Frye Road, Fort Worth, TX'],</v>
      </c>
    </row>
    <row r="167" spans="1:5" s="7" customFormat="1" x14ac:dyDescent="0.25">
      <c r="A167" s="16" t="s">
        <v>796</v>
      </c>
      <c r="B167" s="9" t="s">
        <v>183</v>
      </c>
      <c r="C167" s="6" t="s">
        <v>576</v>
      </c>
      <c r="D167" s="11" t="s">
        <v>4</v>
      </c>
      <c r="E167" s="1" t="str">
        <f t="shared" si="2"/>
        <v>[	29.599737	, -98.291022, 'Fulfillment/Distribution Center', '6000 Enterprise Avenue, Schertz, TX'],</v>
      </c>
    </row>
    <row r="168" spans="1:5" s="7" customFormat="1" x14ac:dyDescent="0.25">
      <c r="A168" s="16" t="s">
        <v>796</v>
      </c>
      <c r="B168" s="9" t="s">
        <v>184</v>
      </c>
      <c r="C168" s="6" t="s">
        <v>577</v>
      </c>
      <c r="D168" s="11" t="s">
        <v>4</v>
      </c>
      <c r="E168" s="1" t="str">
        <f t="shared" si="2"/>
        <v>[	29.837538	, -97.963032, 'Fulfillment/Distribution Center', '1401 East McCarty Lane, San Marcos, TX'],</v>
      </c>
    </row>
    <row r="169" spans="1:5" s="7" customFormat="1" x14ac:dyDescent="0.25">
      <c r="A169" s="16" t="s">
        <v>796</v>
      </c>
      <c r="B169" s="9" t="s">
        <v>185</v>
      </c>
      <c r="C169" s="6" t="s">
        <v>578</v>
      </c>
      <c r="D169" s="11" t="s">
        <v>4</v>
      </c>
      <c r="E169" s="1" t="str">
        <f t="shared" si="2"/>
        <v>[	29.934274	, -95.428766, 'Fulfillment/Distribution Center', '10550 Ella Boulevard, Houston, TX'],</v>
      </c>
    </row>
    <row r="170" spans="1:5" s="7" customFormat="1" x14ac:dyDescent="0.25">
      <c r="A170" s="16" t="s">
        <v>796</v>
      </c>
      <c r="B170" s="9" t="s">
        <v>186</v>
      </c>
      <c r="C170" s="6" t="s">
        <v>579</v>
      </c>
      <c r="D170" s="11" t="s">
        <v>4</v>
      </c>
      <c r="E170" s="1" t="str">
        <f t="shared" si="2"/>
        <v>[	29.786061	, -95.889611, 'Fulfillment/Distribution Center', '31819 Highway Boulevard, Katy, TX'],</v>
      </c>
    </row>
    <row r="171" spans="1:5" s="7" customFormat="1" x14ac:dyDescent="0.25">
      <c r="A171" s="16" t="s">
        <v>796</v>
      </c>
      <c r="B171" s="9" t="s">
        <v>187</v>
      </c>
      <c r="C171" s="6" t="s">
        <v>580</v>
      </c>
      <c r="D171" s="11" t="s">
        <v>4</v>
      </c>
      <c r="E171" s="1" t="str">
        <f t="shared" si="2"/>
        <v>[	32.953463	, -97.026549, 'Fulfillment/Distribution Center', '2701 W Bethel Road, Coppell, TX'],</v>
      </c>
    </row>
    <row r="172" spans="1:5" s="7" customFormat="1" x14ac:dyDescent="0.25">
      <c r="A172" s="16" t="s">
        <v>796</v>
      </c>
      <c r="B172" s="9" t="s">
        <v>188</v>
      </c>
      <c r="C172" s="6" t="s">
        <v>581</v>
      </c>
      <c r="D172" s="11" t="s">
        <v>4</v>
      </c>
      <c r="E172" s="1" t="str">
        <f t="shared" si="2"/>
        <v>[	32.975525	, -97.021283, 'Fulfillment/Distribution Center', '944 W Sandy Lake Road, Coppell, TX'],</v>
      </c>
    </row>
    <row r="173" spans="1:5" s="7" customFormat="1" x14ac:dyDescent="0.25">
      <c r="A173" s="16" t="s">
        <v>796</v>
      </c>
      <c r="B173" s="9" t="s">
        <v>189</v>
      </c>
      <c r="C173" s="6" t="s">
        <v>582</v>
      </c>
      <c r="D173" s="11" t="s">
        <v>4</v>
      </c>
      <c r="E173" s="1" t="str">
        <f t="shared" si="2"/>
        <v>[	32.634497	, -96.768645, 'Fulfillment/Distribution Center', '3351 Balmorhea Drive, Dallas, TX'],</v>
      </c>
    </row>
    <row r="174" spans="1:5" s="7" customFormat="1" x14ac:dyDescent="0.25">
      <c r="A174" s="16" t="s">
        <v>796</v>
      </c>
      <c r="B174" s="9" t="s">
        <v>190</v>
      </c>
      <c r="C174" s="6" t="s">
        <v>583</v>
      </c>
      <c r="D174" s="11" t="s">
        <v>4</v>
      </c>
      <c r="E174" s="1" t="str">
        <f t="shared" si="2"/>
        <v>[	33.020646	, -96.849003, 'Fulfillment/Distribution Center', '4121 International Parkway, Carrolton, TX'],</v>
      </c>
    </row>
    <row r="175" spans="1:5" s="7" customFormat="1" x14ac:dyDescent="0.25">
      <c r="A175" s="16" t="s">
        <v>796</v>
      </c>
      <c r="B175" s="9" t="s">
        <v>191</v>
      </c>
      <c r="C175" s="6" t="s">
        <v>584</v>
      </c>
      <c r="D175" s="11" t="s">
        <v>4</v>
      </c>
      <c r="E175" s="1" t="str">
        <f t="shared" si="2"/>
        <v>[	32.657783	, -96.828538, 'Fulfillment/Distribution Center', '1400 Southport Parkway, Wilmer, TX'],</v>
      </c>
    </row>
    <row r="176" spans="1:5" s="7" customFormat="1" x14ac:dyDescent="0.25">
      <c r="A176" s="16" t="s">
        <v>796</v>
      </c>
      <c r="B176" s="9" t="s">
        <v>192</v>
      </c>
      <c r="C176" s="6" t="s">
        <v>585</v>
      </c>
      <c r="D176" s="11" t="s">
        <v>4</v>
      </c>
      <c r="E176" s="1" t="str">
        <f t="shared" si="2"/>
        <v>[	32.760354	, -96.90231, 'Fulfillment/Distribution Center', '1301 Chalk Hill Road, Dallas, TX'],</v>
      </c>
    </row>
    <row r="177" spans="1:5" s="7" customFormat="1" x14ac:dyDescent="0.25">
      <c r="A177" s="16" t="s">
        <v>796</v>
      </c>
      <c r="B177" s="9" t="s">
        <v>193</v>
      </c>
      <c r="C177" s="6" t="s">
        <v>586</v>
      </c>
      <c r="D177" s="11" t="s">
        <v>4</v>
      </c>
      <c r="E177" s="1" t="str">
        <f t="shared" si="2"/>
        <v>[	40.786907	, -112.025318, 'Fulfillment/Distribution Center', '777 N 5600 West, Salt Lake City, UT'],</v>
      </c>
    </row>
    <row r="178" spans="1:5" s="7" customFormat="1" x14ac:dyDescent="0.25">
      <c r="A178" s="16" t="s">
        <v>796</v>
      </c>
      <c r="B178" s="9" t="s">
        <v>194</v>
      </c>
      <c r="C178" s="6" t="s">
        <v>587</v>
      </c>
      <c r="D178" s="11" t="s">
        <v>4</v>
      </c>
      <c r="E178" s="1" t="str">
        <f t="shared" si="2"/>
        <v>[	37.194767	, -77.492782, 'Fulfillment/Distribution Center', '5000 Commerce Way, Petersburg, VA'],</v>
      </c>
    </row>
    <row r="179" spans="1:5" s="7" customFormat="1" ht="25.5" x14ac:dyDescent="0.25">
      <c r="A179" s="16" t="s">
        <v>796</v>
      </c>
      <c r="B179" s="9" t="s">
        <v>195</v>
      </c>
      <c r="C179" s="6" t="s">
        <v>588</v>
      </c>
      <c r="D179" s="11" t="s">
        <v>4</v>
      </c>
      <c r="E179" s="1" t="str">
        <f t="shared" si="2"/>
        <v>[	37.352017	, -77.327058, 'Fulfillment/Distribution Center', '1901 Meadowville Technology Parkway, Chester, VA'],</v>
      </c>
    </row>
    <row r="180" spans="1:5" s="7" customFormat="1" x14ac:dyDescent="0.25">
      <c r="A180" s="16" t="s">
        <v>796</v>
      </c>
      <c r="B180" s="9" t="s">
        <v>196</v>
      </c>
      <c r="C180" s="6" t="s">
        <v>589</v>
      </c>
      <c r="D180" s="11" t="s">
        <v>4</v>
      </c>
      <c r="E180" s="1" t="str">
        <f t="shared" si="2"/>
        <v>[	39.290168	, -78.081245, 'Fulfillment/Distribution Center', '165 Business Boulevard, Clear Brook, VA'],</v>
      </c>
    </row>
    <row r="181" spans="1:5" s="7" customFormat="1" x14ac:dyDescent="0.25">
      <c r="A181" s="16" t="s">
        <v>796</v>
      </c>
      <c r="B181" s="9" t="s">
        <v>197</v>
      </c>
      <c r="C181" s="6" t="s">
        <v>590</v>
      </c>
      <c r="D181" s="11" t="s">
        <v>4</v>
      </c>
      <c r="E181" s="1" t="str">
        <f t="shared" si="2"/>
        <v>[	38.984968	, -77.472427, 'Fulfillment/Distribution Center', '44301 Mercure Circle, Sterling, VA'],</v>
      </c>
    </row>
    <row r="182" spans="1:5" s="7" customFormat="1" x14ac:dyDescent="0.25">
      <c r="A182" s="16" t="s">
        <v>796</v>
      </c>
      <c r="B182" s="9" t="s">
        <v>198</v>
      </c>
      <c r="C182" s="6" t="s">
        <v>591</v>
      </c>
      <c r="D182" s="11" t="s">
        <v>4</v>
      </c>
      <c r="E182" s="1" t="str">
        <f t="shared" si="2"/>
        <v>[	47.240898	, -122.243318, 'Fulfillment/Distribution Center', '1800 140th Avenue E, Sumner, WA'],</v>
      </c>
    </row>
    <row r="183" spans="1:5" s="7" customFormat="1" x14ac:dyDescent="0.25">
      <c r="A183" s="16" t="s">
        <v>796</v>
      </c>
      <c r="B183" s="9" t="s">
        <v>199</v>
      </c>
      <c r="C183" s="6" t="s">
        <v>592</v>
      </c>
      <c r="D183" s="11" t="s">
        <v>4</v>
      </c>
      <c r="E183" s="1" t="str">
        <f t="shared" si="2"/>
        <v>[	47.112429	, -122.638532, 'Fulfillment/Distribution Center', '2700 Center Drive, DuPont, WA'],</v>
      </c>
    </row>
    <row r="184" spans="1:5" s="7" customFormat="1" x14ac:dyDescent="0.25">
      <c r="A184" s="16" t="s">
        <v>796</v>
      </c>
      <c r="B184" s="9" t="s">
        <v>200</v>
      </c>
      <c r="C184" s="6" t="s">
        <v>593</v>
      </c>
      <c r="D184" s="11" t="s">
        <v>4</v>
      </c>
      <c r="E184" s="1" t="str">
        <f t="shared" si="2"/>
        <v>[	47.414339	, -122.257347, 'Fulfillment/Distribution Center', '21005 64th Ave S, Kent, WA'],</v>
      </c>
    </row>
    <row r="185" spans="1:5" s="7" customFormat="1" x14ac:dyDescent="0.25">
      <c r="A185" s="16" t="s">
        <v>796</v>
      </c>
      <c r="B185" s="9" t="s">
        <v>201</v>
      </c>
      <c r="C185" s="6" t="s">
        <v>594</v>
      </c>
      <c r="D185" s="11" t="s">
        <v>4</v>
      </c>
      <c r="E185" s="1" t="str">
        <f t="shared" si="2"/>
        <v>[	47.598786	, -117.552311, 'Fulfillment/Distribution Center', '10010 W Geiger Boulevard, Spokane, WA'],</v>
      </c>
    </row>
    <row r="186" spans="1:5" s="7" customFormat="1" x14ac:dyDescent="0.25">
      <c r="A186" s="16" t="s">
        <v>796</v>
      </c>
      <c r="B186" s="9" t="s">
        <v>202</v>
      </c>
      <c r="C186" s="6" t="s">
        <v>595</v>
      </c>
      <c r="D186" s="11" t="s">
        <v>4</v>
      </c>
      <c r="E186" s="1" t="str">
        <f t="shared" si="2"/>
        <v>[	42.607425	, -87.949931, 'Fulfillment/Distribution Center', '3501 120th Ave, Kenosha, WI'],</v>
      </c>
    </row>
    <row r="187" spans="1:5" s="7" customFormat="1" ht="25.5" x14ac:dyDescent="0.25">
      <c r="A187" s="16" t="s">
        <v>796</v>
      </c>
      <c r="B187" s="9" t="s">
        <v>203</v>
      </c>
      <c r="C187" s="6" t="s">
        <v>596</v>
      </c>
      <c r="D187" s="11" t="s">
        <v>4</v>
      </c>
      <c r="E187" s="1" t="str">
        <f t="shared" si="2"/>
        <v>[	42.872353	, -87.93247, 'Fulfillment/Distribution Center', 'South 13th Street and West Ryan Road, Oak Creek, WI'],</v>
      </c>
    </row>
    <row r="188" spans="1:5" s="7" customFormat="1" x14ac:dyDescent="0.25">
      <c r="A188" s="16" t="s">
        <v>797</v>
      </c>
      <c r="B188" s="9" t="s">
        <v>204</v>
      </c>
      <c r="C188" s="6" t="s">
        <v>597</v>
      </c>
      <c r="D188" s="10" t="s">
        <v>5</v>
      </c>
      <c r="E188" s="1" t="str">
        <f t="shared" si="2"/>
        <v>[	34.090073	, -117.241523, 'Prime Pantry/AmazonFresh Distribution Center', '2020 E. Central Ave, San Bernardino, CA'],</v>
      </c>
    </row>
    <row r="189" spans="1:5" s="7" customFormat="1" x14ac:dyDescent="0.25">
      <c r="A189" s="16" t="s">
        <v>797</v>
      </c>
      <c r="B189" s="9" t="s">
        <v>205</v>
      </c>
      <c r="C189" s="6" t="s">
        <v>598</v>
      </c>
      <c r="D189" s="10" t="s">
        <v>5</v>
      </c>
      <c r="E189" s="1" t="str">
        <f t="shared" si="2"/>
        <v>[	33.992907	, -118.182084, 'Prime Pantry/AmazonFresh Distribution Center', '5119 District Blvd #100, Vernon, CA'],</v>
      </c>
    </row>
    <row r="190" spans="1:5" s="7" customFormat="1" x14ac:dyDescent="0.25">
      <c r="A190" s="16" t="s">
        <v>797</v>
      </c>
      <c r="B190" s="9" t="s">
        <v>206</v>
      </c>
      <c r="C190" s="6" t="s">
        <v>447</v>
      </c>
      <c r="D190" s="10" t="s">
        <v>5</v>
      </c>
      <c r="E190" s="1" t="str">
        <f t="shared" si="2"/>
        <v>[	37.745404	, -121.404442, 'Prime Pantry/AmazonFresh Distribution Center', '1555 N Chrisman Road, Tracy, CA'],</v>
      </c>
    </row>
    <row r="191" spans="1:5" s="7" customFormat="1" x14ac:dyDescent="0.25">
      <c r="A191" s="16" t="s">
        <v>797</v>
      </c>
      <c r="B191" s="9" t="s">
        <v>207</v>
      </c>
      <c r="C191" s="6" t="s">
        <v>599</v>
      </c>
      <c r="D191" s="10" t="s">
        <v>5</v>
      </c>
      <c r="E191" s="1" t="str">
        <f t="shared" si="2"/>
        <v>[	37.520584	, -122.014483, 'Prime Pantry/AmazonFresh Distribution Center', '38811 Cherry Street, Newark, CA'],</v>
      </c>
    </row>
    <row r="192" spans="1:5" s="7" customFormat="1" x14ac:dyDescent="0.25">
      <c r="A192" s="16" t="s">
        <v>797</v>
      </c>
      <c r="B192" s="9" t="s">
        <v>208</v>
      </c>
      <c r="C192" s="6" t="s">
        <v>600</v>
      </c>
      <c r="D192" s="10" t="s">
        <v>5</v>
      </c>
      <c r="E192" s="1" t="str">
        <f t="shared" si="2"/>
        <v>[	39.796424	, -104.979993, 'Prime Pantry/AmazonFresh Distribution Center', '480 E 55th Ave, Denver, CO'],</v>
      </c>
    </row>
    <row r="193" spans="1:5" s="7" customFormat="1" x14ac:dyDescent="0.25">
      <c r="A193" s="16" t="s">
        <v>797</v>
      </c>
      <c r="B193" s="9" t="s">
        <v>209</v>
      </c>
      <c r="C193" s="6" t="s">
        <v>601</v>
      </c>
      <c r="D193" s="10" t="s">
        <v>5</v>
      </c>
      <c r="E193" s="1" t="str">
        <f t="shared" si="2"/>
        <v>[	25.811364	, -80.306512, 'Prime Pantry/AmazonFresh Distribution Center', '3200 Northwest 67th Avenue, Miami, FL'],</v>
      </c>
    </row>
    <row r="194" spans="1:5" s="7" customFormat="1" x14ac:dyDescent="0.25">
      <c r="A194" s="16" t="s">
        <v>797</v>
      </c>
      <c r="B194" s="9" t="s">
        <v>210</v>
      </c>
      <c r="C194" s="6" t="s">
        <v>602</v>
      </c>
      <c r="D194" s="10" t="s">
        <v>5</v>
      </c>
      <c r="E194" s="1" t="str">
        <f t="shared" si="2"/>
        <v>[	33.975676	, -84.11432, 'Prime Pantry/AmazonFresh Distribution Center', '2232 Northmont Parkway, Duluth, GA'],</v>
      </c>
    </row>
    <row r="195" spans="1:5" s="7" customFormat="1" x14ac:dyDescent="0.25">
      <c r="A195" s="16" t="s">
        <v>797</v>
      </c>
      <c r="B195" s="9" t="s">
        <v>211</v>
      </c>
      <c r="C195" s="6" t="s">
        <v>603</v>
      </c>
      <c r="D195" s="10" t="s">
        <v>5</v>
      </c>
      <c r="E195" s="1" t="str">
        <f t="shared" ref="E195:E258" si="3">IF(ISBLANK($C195), "", "[" &amp; C195 &amp; ", '" &amp; A195 &amp; "', '" &amp; B195 &amp; "']" &amp; IF(E196 = "", "", ","))</f>
        <v>[	41.987122	, -87.987525, 'Prime Pantry/AmazonFresh Distribution Center', '1250 N Mittel Boulevard, Wood Dale, IL'],</v>
      </c>
    </row>
    <row r="196" spans="1:5" s="7" customFormat="1" x14ac:dyDescent="0.25">
      <c r="A196" s="16" t="s">
        <v>797</v>
      </c>
      <c r="B196" s="9" t="s">
        <v>212</v>
      </c>
      <c r="C196" s="6" t="s">
        <v>604</v>
      </c>
      <c r="D196" s="10" t="s">
        <v>5</v>
      </c>
      <c r="E196" s="1" t="str">
        <f t="shared" si="3"/>
        <v>[	38.844986	, -94.901498, 'Prime Pantry/AmazonFresh Distribution Center', '27200 West 157th Street, Johnson, KS'],</v>
      </c>
    </row>
    <row r="197" spans="1:5" s="7" customFormat="1" x14ac:dyDescent="0.25">
      <c r="A197" s="16" t="s">
        <v>797</v>
      </c>
      <c r="B197" s="9" t="s">
        <v>213</v>
      </c>
      <c r="C197" s="6" t="s">
        <v>605</v>
      </c>
      <c r="D197" s="10" t="s">
        <v>5</v>
      </c>
      <c r="E197" s="1" t="str">
        <f t="shared" si="3"/>
        <v>[	39.050539	, -94.853114, 'Prime Pantry/AmazonFresh Distribution Center', '23100 W 43rd Street, Shawnee, KS'],</v>
      </c>
    </row>
    <row r="198" spans="1:5" s="7" customFormat="1" x14ac:dyDescent="0.25">
      <c r="A198" s="16" t="s">
        <v>797</v>
      </c>
      <c r="B198" s="9" t="s">
        <v>214</v>
      </c>
      <c r="C198" s="6" t="s">
        <v>606</v>
      </c>
      <c r="D198" s="10" t="s">
        <v>5</v>
      </c>
      <c r="E198" s="1" t="str">
        <f t="shared" si="3"/>
        <v>[	39.074752	, -84.718275, 'Prime Pantry/AmazonFresh Distribution Center', '2285 Litton Lane, Hebron, KY'],</v>
      </c>
    </row>
    <row r="199" spans="1:5" s="7" customFormat="1" x14ac:dyDescent="0.25">
      <c r="A199" s="16" t="s">
        <v>797</v>
      </c>
      <c r="B199" s="9" t="s">
        <v>215</v>
      </c>
      <c r="C199" s="6" t="s">
        <v>607</v>
      </c>
      <c r="D199" s="10" t="s">
        <v>5</v>
      </c>
      <c r="E199" s="1" t="str">
        <f t="shared" si="3"/>
        <v>[	42.393546	, -71.053677, 'Prime Pantry/AmazonFresh Distribution Center', '201 Beacham Street, Everett, MA'],</v>
      </c>
    </row>
    <row r="200" spans="1:5" s="7" customFormat="1" x14ac:dyDescent="0.25">
      <c r="A200" s="16" t="s">
        <v>797</v>
      </c>
      <c r="B200" s="9" t="s">
        <v>216</v>
      </c>
      <c r="C200" s="6" t="s">
        <v>608</v>
      </c>
      <c r="D200" s="10" t="s">
        <v>5</v>
      </c>
      <c r="E200" s="1" t="str">
        <f t="shared" si="3"/>
        <v>[	40.583773	, -74.255473, 'Prime Pantry/AmazonFresh Distribution Center', '275 Omar Ave, Avenel, NJ'],</v>
      </c>
    </row>
    <row r="201" spans="1:5" s="7" customFormat="1" x14ac:dyDescent="0.25">
      <c r="A201" s="16" t="s">
        <v>797</v>
      </c>
      <c r="B201" s="9" t="s">
        <v>217</v>
      </c>
      <c r="C201" s="6" t="s">
        <v>609</v>
      </c>
      <c r="D201" s="10" t="s">
        <v>5</v>
      </c>
      <c r="E201" s="1" t="str">
        <f t="shared" si="3"/>
        <v>[	40.564342	, -74.221234, 'Prime Pantry/AmazonFresh Distribution Center', '380 Middlesex Ave, Carteret, NJ'],</v>
      </c>
    </row>
    <row r="202" spans="1:5" s="7" customFormat="1" x14ac:dyDescent="0.25">
      <c r="A202" s="16" t="s">
        <v>797</v>
      </c>
      <c r="B202" s="9" t="s">
        <v>218</v>
      </c>
      <c r="C202" s="6" t="s">
        <v>610</v>
      </c>
      <c r="D202" s="10" t="s">
        <v>5</v>
      </c>
      <c r="E202" s="1" t="str">
        <f t="shared" si="3"/>
        <v>[	40.743363	, -73.490325, 'Prime Pantry/AmazonFresh Distribution Center', '80 Grumman Road, Bethpage, NY'],</v>
      </c>
    </row>
    <row r="203" spans="1:5" s="7" customFormat="1" x14ac:dyDescent="0.25">
      <c r="A203" s="16" t="s">
        <v>797</v>
      </c>
      <c r="B203" s="9" t="s">
        <v>219</v>
      </c>
      <c r="C203" s="6" t="s">
        <v>611</v>
      </c>
      <c r="D203" s="10" t="s">
        <v>5</v>
      </c>
      <c r="E203" s="1" t="str">
        <f t="shared" si="3"/>
        <v>[	32.828378	, -97.354617, 'Prime Pantry/AmazonFresh Distribution Center', '4601 Gold Spike Drive, Fort Worth, TX'],</v>
      </c>
    </row>
    <row r="204" spans="1:5" s="7" customFormat="1" x14ac:dyDescent="0.25">
      <c r="A204" s="16" t="s">
        <v>797</v>
      </c>
      <c r="B204" s="9" t="s">
        <v>220</v>
      </c>
      <c r="C204" s="6" t="s">
        <v>612</v>
      </c>
      <c r="D204" s="10" t="s">
        <v>5</v>
      </c>
      <c r="E204" s="1" t="str">
        <f t="shared" si="3"/>
        <v>[	32.939376	, -97.028674, 'Prime Pantry/AmazonFresh Distribution Center', '2700 Regent Boulevard, Irving, TX'],</v>
      </c>
    </row>
    <row r="205" spans="1:5" s="7" customFormat="1" x14ac:dyDescent="0.25">
      <c r="A205" s="16" t="s">
        <v>797</v>
      </c>
      <c r="B205" s="9" t="s">
        <v>221</v>
      </c>
      <c r="C205" s="6" t="s">
        <v>613</v>
      </c>
      <c r="D205" s="10" t="s">
        <v>5</v>
      </c>
      <c r="E205" s="1" t="str">
        <f t="shared" si="3"/>
        <v>[	38.986054	, -77.439848, 'Prime Pantry/AmazonFresh Distribution Center', '45121 Global Plaza, Sterling, VA'],</v>
      </c>
    </row>
    <row r="206" spans="1:5" s="7" customFormat="1" x14ac:dyDescent="0.25">
      <c r="A206" s="16" t="s">
        <v>797</v>
      </c>
      <c r="B206" s="9" t="s">
        <v>222</v>
      </c>
      <c r="C206" s="6" t="s">
        <v>614</v>
      </c>
      <c r="D206" s="10" t="s">
        <v>5</v>
      </c>
      <c r="E206" s="1" t="str">
        <f t="shared" si="3"/>
        <v>[	38.798621	, -77.169546, 'Prime Pantry/AmazonFresh Distribution Center', '5617 Industrial Drive, Springfield, VA'],</v>
      </c>
    </row>
    <row r="207" spans="1:5" s="7" customFormat="1" x14ac:dyDescent="0.25">
      <c r="A207" s="16" t="s">
        <v>797</v>
      </c>
      <c r="B207" s="9" t="s">
        <v>223</v>
      </c>
      <c r="C207" s="6" t="s">
        <v>615</v>
      </c>
      <c r="D207" s="10" t="s">
        <v>5</v>
      </c>
      <c r="E207" s="1" t="str">
        <f t="shared" si="3"/>
        <v>[	47.419696	, -122.226719, 'Prime Pantry/AmazonFresh Distribution Center', '20202 84th Ave S, Kent, WA'],</v>
      </c>
    </row>
    <row r="208" spans="1:5" s="7" customFormat="1" x14ac:dyDescent="0.25">
      <c r="A208" s="16" t="s">
        <v>797</v>
      </c>
      <c r="B208" s="9" t="s">
        <v>224</v>
      </c>
      <c r="C208" s="6" t="s">
        <v>616</v>
      </c>
      <c r="D208" s="10" t="s">
        <v>5</v>
      </c>
      <c r="E208" s="1" t="str">
        <f t="shared" si="3"/>
        <v>[	47.240287	, -122.239317, 'Prime Pantry/AmazonFresh Distribution Center', '1901 140th Ave E, Sumner, WA'],</v>
      </c>
    </row>
    <row r="209" spans="1:5" s="7" customFormat="1" x14ac:dyDescent="0.25">
      <c r="A209" s="16" t="s">
        <v>798</v>
      </c>
      <c r="B209" s="9" t="s">
        <v>225</v>
      </c>
      <c r="C209" s="6" t="s">
        <v>617</v>
      </c>
      <c r="D209" s="10" t="s">
        <v>3</v>
      </c>
      <c r="E209" s="1" t="str">
        <f t="shared" si="3"/>
        <v>[	37.999333	, -122.344866, 'Amazon Whole Foods Retail Food Distribution Center', '6035 Giant Highway, Richmond, CA'],</v>
      </c>
    </row>
    <row r="210" spans="1:5" s="7" customFormat="1" x14ac:dyDescent="0.25">
      <c r="A210" s="16" t="s">
        <v>798</v>
      </c>
      <c r="B210" s="9" t="s">
        <v>226</v>
      </c>
      <c r="C210" s="6" t="s">
        <v>618</v>
      </c>
      <c r="D210" s="10" t="s">
        <v>3</v>
      </c>
      <c r="E210" s="1" t="str">
        <f t="shared" si="3"/>
        <v>[	33.998738	, -118.224827, 'Amazon Whole Foods Retail Food Distribution Center', '5000 Pacific Boulevard, Vernon, CA'],</v>
      </c>
    </row>
    <row r="211" spans="1:5" s="7" customFormat="1" x14ac:dyDescent="0.25">
      <c r="A211" s="16" t="s">
        <v>798</v>
      </c>
      <c r="B211" s="9" t="s">
        <v>227</v>
      </c>
      <c r="C211" s="6" t="s">
        <v>619</v>
      </c>
      <c r="D211" s="10" t="s">
        <v>3</v>
      </c>
      <c r="E211" s="1" t="str">
        <f t="shared" si="3"/>
        <v>[	39.758447	, -104.777801, 'Amazon Whole Foods Retail Food Distribution Center', '17900 East 32nd Avenue, Aurora, CO'],</v>
      </c>
    </row>
    <row r="212" spans="1:5" s="7" customFormat="1" x14ac:dyDescent="0.25">
      <c r="A212" s="16" t="s">
        <v>798</v>
      </c>
      <c r="B212" s="9" t="s">
        <v>228</v>
      </c>
      <c r="C212" s="6" t="s">
        <v>620</v>
      </c>
      <c r="D212" s="10" t="s">
        <v>3</v>
      </c>
      <c r="E212" s="1" t="str">
        <f t="shared" si="3"/>
        <v>[	41.552848	, -72.873895, 'Amazon Whole Foods Retail Food Distribution Center', '400 East Johnson Avenue, Cheshire, CT'],</v>
      </c>
    </row>
    <row r="213" spans="1:5" s="7" customFormat="1" x14ac:dyDescent="0.25">
      <c r="A213" s="16" t="s">
        <v>798</v>
      </c>
      <c r="B213" s="9" t="s">
        <v>229</v>
      </c>
      <c r="C213" s="6" t="s">
        <v>621</v>
      </c>
      <c r="D213" s="10" t="s">
        <v>3</v>
      </c>
      <c r="E213" s="1" t="str">
        <f t="shared" si="3"/>
        <v>[	34.102316	, -83.776839, 'Amazon Whole Foods Retail Food Distribution Center', '211 BDC Parkway, Braselton, GA'],</v>
      </c>
    </row>
    <row r="214" spans="1:5" s="7" customFormat="1" x14ac:dyDescent="0.25">
      <c r="A214" s="16" t="s">
        <v>798</v>
      </c>
      <c r="B214" s="9" t="s">
        <v>230</v>
      </c>
      <c r="C214" s="6" t="s">
        <v>622</v>
      </c>
      <c r="D214" s="10" t="s">
        <v>3</v>
      </c>
      <c r="E214" s="1" t="str">
        <f t="shared" si="3"/>
        <v>[	41.696813	, -87.601391, 'Amazon Whole Foods Retail Food Distribution Center', '720 E 111th Street, Chicago, IL'],</v>
      </c>
    </row>
    <row r="215" spans="1:5" s="7" customFormat="1" x14ac:dyDescent="0.25">
      <c r="A215" s="16" t="s">
        <v>798</v>
      </c>
      <c r="B215" s="9" t="s">
        <v>231</v>
      </c>
      <c r="C215" s="6" t="s">
        <v>623</v>
      </c>
      <c r="D215" s="10" t="s">
        <v>3</v>
      </c>
      <c r="E215" s="1" t="str">
        <f t="shared" si="3"/>
        <v>[	42.615673	, -70.650771, 'Amazon Whole Foods Retail Food Distribution Center', '15 Parker Street, Gloucester, MA'],</v>
      </c>
    </row>
    <row r="216" spans="1:5" s="7" customFormat="1" x14ac:dyDescent="0.25">
      <c r="A216" s="16" t="s">
        <v>798</v>
      </c>
      <c r="B216" s="9" t="s">
        <v>232</v>
      </c>
      <c r="C216" s="6" t="s">
        <v>624</v>
      </c>
      <c r="D216" s="10" t="s">
        <v>3</v>
      </c>
      <c r="E216" s="1" t="str">
        <f t="shared" si="3"/>
        <v>[	38.91128	, -76.9029, 'Amazon Whole Foods Retail Food Distribution Center', '1555 Cabin Branch Drive, Landover, MD'],</v>
      </c>
    </row>
    <row r="217" spans="1:5" s="7" customFormat="1" x14ac:dyDescent="0.25">
      <c r="A217" s="16" t="s">
        <v>798</v>
      </c>
      <c r="B217" s="9" t="s">
        <v>233</v>
      </c>
      <c r="C217" s="6" t="s">
        <v>625</v>
      </c>
      <c r="D217" s="10" t="s">
        <v>3</v>
      </c>
      <c r="E217" s="1" t="str">
        <f t="shared" si="3"/>
        <v>[	38.915929	, -76.902339, 'Amazon Whole Foods Retail Food Distribution Center', '1905 Clarkson Way, Hyattsville, MD'],</v>
      </c>
    </row>
    <row r="218" spans="1:5" s="7" customFormat="1" x14ac:dyDescent="0.25">
      <c r="A218" s="16" t="s">
        <v>798</v>
      </c>
      <c r="B218" s="9" t="s">
        <v>234</v>
      </c>
      <c r="C218" s="6" t="s">
        <v>626</v>
      </c>
      <c r="D218" s="10" t="s">
        <v>3</v>
      </c>
      <c r="E218" s="1" t="str">
        <f t="shared" si="3"/>
        <v>[	30.253292	, -97.685622, 'Amazon Whole Foods Retail Food Distribution Center', '840 Interchange Boulevard, Austin, TX'],</v>
      </c>
    </row>
    <row r="219" spans="1:5" s="7" customFormat="1" x14ac:dyDescent="0.25">
      <c r="A219" s="16" t="s">
        <v>798</v>
      </c>
      <c r="B219" s="9" t="s">
        <v>235</v>
      </c>
      <c r="C219" s="6" t="s">
        <v>627</v>
      </c>
      <c r="D219" s="10" t="s">
        <v>3</v>
      </c>
      <c r="E219" s="1" t="str">
        <f t="shared" si="3"/>
        <v>[	47.564473	, -122.338048, 'Amazon Whole Foods Retail Food Distribution Center', '4250 E Marginal Way South, Seattle, WA'],</v>
      </c>
    </row>
    <row r="220" spans="1:5" s="7" customFormat="1" x14ac:dyDescent="0.25">
      <c r="A220" s="16" t="s">
        <v>798</v>
      </c>
      <c r="B220" s="9" t="s">
        <v>236</v>
      </c>
      <c r="C220" s="6" t="s">
        <v>628</v>
      </c>
      <c r="D220" s="10" t="s">
        <v>3</v>
      </c>
      <c r="E220" s="1" t="str">
        <f t="shared" si="3"/>
        <v>[	47.548082	, -122.333112, 'Amazon Whole Foods Retail Food Distribution Center', '5980 1st Avenue South, Seattle, WA'],</v>
      </c>
    </row>
    <row r="221" spans="1:5" s="7" customFormat="1" x14ac:dyDescent="0.25">
      <c r="A221" s="16" t="s">
        <v>799</v>
      </c>
      <c r="B221" s="9" t="s">
        <v>237</v>
      </c>
      <c r="C221" s="6" t="s">
        <v>629</v>
      </c>
      <c r="D221" s="10" t="s">
        <v>14</v>
      </c>
      <c r="E221" s="1" t="str">
        <f t="shared" si="3"/>
        <v>[	33.443013	, -111.978891, 'Prime Now Distribution Center', '500 S 48th St, Phoenix, AZ'],</v>
      </c>
    </row>
    <row r="222" spans="1:5" s="7" customFormat="1" x14ac:dyDescent="0.25">
      <c r="A222" s="16" t="s">
        <v>799</v>
      </c>
      <c r="B222" s="9" t="s">
        <v>238</v>
      </c>
      <c r="C222" s="6" t="s">
        <v>630</v>
      </c>
      <c r="D222" s="10" t="s">
        <v>14</v>
      </c>
      <c r="E222" s="1" t="str">
        <f t="shared" si="3"/>
        <v>[	37.760679	, -122.389868, 'Prime Now Distribution Center', '888 Tennessee Street, San Francisco, CA'],</v>
      </c>
    </row>
    <row r="223" spans="1:5" s="7" customFormat="1" x14ac:dyDescent="0.25">
      <c r="A223" s="16" t="s">
        <v>799</v>
      </c>
      <c r="B223" s="9" t="s">
        <v>239</v>
      </c>
      <c r="C223" s="6" t="s">
        <v>631</v>
      </c>
      <c r="D223" s="10" t="s">
        <v>14</v>
      </c>
      <c r="E223" s="1" t="str">
        <f t="shared" si="3"/>
        <v>[	33.894035	, -118.369661, 'Prime Now Distribution Center', '2400 Marine Ave, Redondo Beach, CA'],</v>
      </c>
    </row>
    <row r="224" spans="1:5" s="7" customFormat="1" x14ac:dyDescent="0.25">
      <c r="A224" s="16" t="s">
        <v>799</v>
      </c>
      <c r="B224" s="9" t="s">
        <v>240</v>
      </c>
      <c r="C224" s="6" t="s">
        <v>632</v>
      </c>
      <c r="D224" s="10" t="s">
        <v>14</v>
      </c>
      <c r="E224" s="1" t="str">
        <f t="shared" si="3"/>
        <v>[	34.03279	, -118.449937, 'Prime Now Distribution Center', '11800 W Olympic Blvd, Santa Monica, CA'],</v>
      </c>
    </row>
    <row r="225" spans="1:5" s="7" customFormat="1" x14ac:dyDescent="0.25">
      <c r="A225" s="16" t="s">
        <v>799</v>
      </c>
      <c r="B225" s="9" t="s">
        <v>241</v>
      </c>
      <c r="C225" s="6" t="s">
        <v>633</v>
      </c>
      <c r="D225" s="10" t="s">
        <v>14</v>
      </c>
      <c r="E225" s="1" t="str">
        <f t="shared" si="3"/>
        <v>[	33.690294	, -117.845751, 'Prime Now Distribution Center', '2006 McCaw Ave, Irvine, CA'],</v>
      </c>
    </row>
    <row r="226" spans="1:5" s="7" customFormat="1" ht="25.5" x14ac:dyDescent="0.25">
      <c r="A226" s="16" t="s">
        <v>799</v>
      </c>
      <c r="B226" s="9" t="s">
        <v>242</v>
      </c>
      <c r="C226" s="6" t="s">
        <v>634</v>
      </c>
      <c r="D226" s="10" t="s">
        <v>14</v>
      </c>
      <c r="E226" s="1" t="str">
        <f t="shared" si="3"/>
        <v>[	34.061792	, -118.291674, 'Prime Now Distribution Center', 'Near South Vermont Ave &amp; Wilshire Blvd, Silver Lake, CA'],</v>
      </c>
    </row>
    <row r="227" spans="1:5" s="7" customFormat="1" x14ac:dyDescent="0.25">
      <c r="A227" s="16" t="s">
        <v>799</v>
      </c>
      <c r="B227" s="9" t="s">
        <v>243</v>
      </c>
      <c r="C227" s="6" t="s">
        <v>635</v>
      </c>
      <c r="D227" s="10" t="s">
        <v>14</v>
      </c>
      <c r="E227" s="1" t="str">
        <f t="shared" si="3"/>
        <v>[	32.749868	, -117.20119, 'Prime Now Distribution Center', '2727 Kurtz St, San Diego, CA'],</v>
      </c>
    </row>
    <row r="228" spans="1:5" s="7" customFormat="1" x14ac:dyDescent="0.25">
      <c r="A228" s="16" t="s">
        <v>799</v>
      </c>
      <c r="B228" s="9" t="s">
        <v>244</v>
      </c>
      <c r="C228" s="6" t="s">
        <v>636</v>
      </c>
      <c r="D228" s="10" t="s">
        <v>14</v>
      </c>
      <c r="E228" s="1" t="str">
        <f t="shared" si="3"/>
        <v>[	37.378499	, -122.006933, 'Prime Now Distribution Center', '222 Commercial Street, Sunnyvale, CA'],</v>
      </c>
    </row>
    <row r="229" spans="1:5" s="7" customFormat="1" x14ac:dyDescent="0.25">
      <c r="A229" s="16" t="s">
        <v>799</v>
      </c>
      <c r="B229" s="9" t="s">
        <v>245</v>
      </c>
      <c r="C229" s="6" t="s">
        <v>637</v>
      </c>
      <c r="D229" s="10" t="s">
        <v>14</v>
      </c>
      <c r="E229" s="1" t="str">
        <f t="shared" si="3"/>
        <v>[	37.850326	, -122.28835, 'Prime Now Distribution Center', '1000 Folger Ave., West Berkeley, CA'],</v>
      </c>
    </row>
    <row r="230" spans="1:5" x14ac:dyDescent="0.25">
      <c r="A230" s="16" t="s">
        <v>799</v>
      </c>
      <c r="B230" s="9" t="s">
        <v>246</v>
      </c>
      <c r="C230" s="6" t="s">
        <v>638</v>
      </c>
      <c r="D230" s="10" t="s">
        <v>14</v>
      </c>
      <c r="E230" s="1" t="str">
        <f t="shared" si="3"/>
        <v>[	38.546686	, -121.41768, 'Prime Now Distribution Center', '2934 Ramona Avenue, Sacramento, CA'],</v>
      </c>
    </row>
    <row r="231" spans="1:5" x14ac:dyDescent="0.25">
      <c r="A231" s="16" t="s">
        <v>799</v>
      </c>
      <c r="B231" s="9" t="s">
        <v>247</v>
      </c>
      <c r="C231" s="6" t="s">
        <v>639</v>
      </c>
      <c r="D231" s="10" t="s">
        <v>14</v>
      </c>
      <c r="E231" s="1" t="str">
        <f t="shared" si="3"/>
        <v>[	34.117422	, -118.250907, 'Prime Now Distribution Center', '3334 North San Fernando Road, Los Angeles, CA'],</v>
      </c>
    </row>
    <row r="232" spans="1:5" x14ac:dyDescent="0.25">
      <c r="A232" s="16" t="s">
        <v>799</v>
      </c>
      <c r="B232" s="9" t="s">
        <v>248</v>
      </c>
      <c r="C232" s="6" t="s">
        <v>640</v>
      </c>
      <c r="D232" s="10" t="s">
        <v>14</v>
      </c>
      <c r="E232" s="1" t="str">
        <f t="shared" si="3"/>
        <v>[	39.766831	, -104.755735, 'Prime Now Distribution Center', '19799 E. 36th Avenue, Aurora, CO'],</v>
      </c>
    </row>
    <row r="233" spans="1:5" x14ac:dyDescent="0.25">
      <c r="A233" s="16" t="s">
        <v>799</v>
      </c>
      <c r="B233" s="9" t="s">
        <v>249</v>
      </c>
      <c r="C233" s="6" t="s">
        <v>641</v>
      </c>
      <c r="D233" s="10" t="s">
        <v>14</v>
      </c>
      <c r="E233" s="1" t="str">
        <f t="shared" si="3"/>
        <v>[	40.021967	, -105.247823, 'Prime Now Distribution Center', '3550 Frontier Ave., Boulder, CO'],</v>
      </c>
    </row>
    <row r="234" spans="1:5" x14ac:dyDescent="0.25">
      <c r="A234" s="16" t="s">
        <v>799</v>
      </c>
      <c r="B234" s="9" t="s">
        <v>250</v>
      </c>
      <c r="C234" s="6" t="s">
        <v>642</v>
      </c>
      <c r="D234" s="10" t="s">
        <v>14</v>
      </c>
      <c r="E234" s="1" t="str">
        <f t="shared" si="3"/>
        <v>[	25.917574	, -80.22638, 'Prime Now Distribution Center', '15600 NW 15th Ave, Miami Gardens, FL'],</v>
      </c>
    </row>
    <row r="235" spans="1:5" x14ac:dyDescent="0.25">
      <c r="A235" s="16" t="s">
        <v>799</v>
      </c>
      <c r="B235" s="9" t="s">
        <v>251</v>
      </c>
      <c r="C235" s="6" t="s">
        <v>643</v>
      </c>
      <c r="D235" s="10" t="s">
        <v>14</v>
      </c>
      <c r="E235" s="1" t="str">
        <f t="shared" si="3"/>
        <v>[	25.799236	, -80.192999, 'Prime Now Distribution Center', '65/101 NE 23rd Street, Miami, FL'],</v>
      </c>
    </row>
    <row r="236" spans="1:5" x14ac:dyDescent="0.25">
      <c r="A236" s="16" t="s">
        <v>799</v>
      </c>
      <c r="B236" s="9" t="s">
        <v>252</v>
      </c>
      <c r="C236" s="6" t="s">
        <v>644</v>
      </c>
      <c r="D236" s="10" t="s">
        <v>14</v>
      </c>
      <c r="E236" s="1" t="str">
        <f t="shared" si="3"/>
        <v>[	27.953925	, -82.408738, 'Prime Now Distribution Center', '4440 East Adamo Drive, Tampa, FL'],</v>
      </c>
    </row>
    <row r="237" spans="1:5" x14ac:dyDescent="0.25">
      <c r="A237" s="16" t="s">
        <v>799</v>
      </c>
      <c r="B237" s="9" t="s">
        <v>253</v>
      </c>
      <c r="C237" s="6" t="s">
        <v>645</v>
      </c>
      <c r="D237" s="10" t="s">
        <v>14</v>
      </c>
      <c r="E237" s="1" t="str">
        <f t="shared" si="3"/>
        <v>[	28.459706	, -81.439401, 'Prime Now Distribution Center', '7469 Kingspointe Parkway, Orlando, FL'],</v>
      </c>
    </row>
    <row r="238" spans="1:5" x14ac:dyDescent="0.25">
      <c r="A238" s="16" t="s">
        <v>799</v>
      </c>
      <c r="B238" s="9" t="s">
        <v>254</v>
      </c>
      <c r="C238" s="6" t="s">
        <v>646</v>
      </c>
      <c r="D238" s="10" t="s">
        <v>14</v>
      </c>
      <c r="E238" s="1" t="str">
        <f t="shared" si="3"/>
        <v>[	33.818156	, -84.451347, 'Prime Now Distribution Center', '2302 Marietta Boulevard NW, Atlanta, GA'],</v>
      </c>
    </row>
    <row r="239" spans="1:5" ht="25.5" x14ac:dyDescent="0.25">
      <c r="A239" s="16" t="s">
        <v>799</v>
      </c>
      <c r="B239" s="9" t="s">
        <v>255</v>
      </c>
      <c r="C239" s="6" t="s">
        <v>647</v>
      </c>
      <c r="D239" s="10" t="s">
        <v>14</v>
      </c>
      <c r="E239" s="1" t="str">
        <f t="shared" si="3"/>
        <v>[	33.968032	, -84.082552, 'Prime Now Distribution Center', '2160 Breckenridge Blvd Suite 100, Lawrenceville, GA'],</v>
      </c>
    </row>
    <row r="240" spans="1:5" x14ac:dyDescent="0.25">
      <c r="A240" s="16" t="s">
        <v>799</v>
      </c>
      <c r="B240" s="9" t="s">
        <v>256</v>
      </c>
      <c r="C240" s="6" t="s">
        <v>648</v>
      </c>
      <c r="D240" s="10" t="s">
        <v>14</v>
      </c>
      <c r="E240" s="1" t="str">
        <f t="shared" si="3"/>
        <v>[	41.902083	, -87.652101, 'Prime Now Distribution Center', '1111 N. Cherry Ave., Chicago, IL'],</v>
      </c>
    </row>
    <row r="241" spans="1:5" x14ac:dyDescent="0.25">
      <c r="A241" s="16" t="s">
        <v>799</v>
      </c>
      <c r="B241" s="9" t="s">
        <v>257</v>
      </c>
      <c r="C241" s="6" t="s">
        <v>603</v>
      </c>
      <c r="D241" s="10" t="s">
        <v>14</v>
      </c>
      <c r="E241" s="1" t="str">
        <f t="shared" si="3"/>
        <v>[	41.987122	, -87.987525, 'Prime Now Distribution Center', '1250 N. Mittel Blvd, Wood Dale, IL'],</v>
      </c>
    </row>
    <row r="242" spans="1:5" x14ac:dyDescent="0.25">
      <c r="A242" s="16" t="s">
        <v>799</v>
      </c>
      <c r="B242" s="9" t="s">
        <v>85</v>
      </c>
      <c r="C242" s="6" t="s">
        <v>478</v>
      </c>
      <c r="D242" s="10" t="s">
        <v>14</v>
      </c>
      <c r="E242" s="1" t="str">
        <f t="shared" si="3"/>
        <v>[	39.755716	, -86.290122, 'Prime Now Distribution Center', '710 South Girls School Road, Indianapolis, IN'],</v>
      </c>
    </row>
    <row r="243" spans="1:5" x14ac:dyDescent="0.25">
      <c r="A243" s="16" t="s">
        <v>799</v>
      </c>
      <c r="B243" s="9" t="s">
        <v>258</v>
      </c>
      <c r="C243" s="6" t="s">
        <v>649</v>
      </c>
      <c r="D243" s="10" t="s">
        <v>14</v>
      </c>
      <c r="E243" s="1" t="str">
        <f t="shared" si="3"/>
        <v>[	39.270333	, -76.548419, 'Prime Now Distribution Center', '5001 Holabird Ave., Baltimore, MD'],</v>
      </c>
    </row>
    <row r="244" spans="1:5" x14ac:dyDescent="0.25">
      <c r="A244" s="16" t="s">
        <v>799</v>
      </c>
      <c r="B244" s="9" t="s">
        <v>259</v>
      </c>
      <c r="C244" s="6" t="s">
        <v>650</v>
      </c>
      <c r="D244" s="10" t="s">
        <v>14</v>
      </c>
      <c r="E244" s="1" t="str">
        <f t="shared" si="3"/>
        <v>[	42.333476	, -71.075829, 'Prime Now Distribution Center', '30 Northampton Street, Boston, MA'],</v>
      </c>
    </row>
    <row r="245" spans="1:5" x14ac:dyDescent="0.25">
      <c r="A245" s="16" t="s">
        <v>799</v>
      </c>
      <c r="B245" s="9" t="s">
        <v>260</v>
      </c>
      <c r="C245" s="6" t="s">
        <v>651</v>
      </c>
      <c r="D245" s="10" t="s">
        <v>14</v>
      </c>
      <c r="E245" s="1" t="str">
        <f t="shared" si="3"/>
        <v>[	42.162177	, -83.237517, 'Prime Now Distribution Center', '19991 Brownstown Center Drive, Trenton, MI'],</v>
      </c>
    </row>
    <row r="246" spans="1:5" x14ac:dyDescent="0.25">
      <c r="A246" s="16" t="s">
        <v>799</v>
      </c>
      <c r="B246" s="9" t="s">
        <v>261</v>
      </c>
      <c r="C246" s="6" t="s">
        <v>652</v>
      </c>
      <c r="D246" s="10" t="s">
        <v>14</v>
      </c>
      <c r="E246" s="1" t="str">
        <f t="shared" si="3"/>
        <v>[	44.98324	, -93.217092, 'Prime Now Distribution Center', '763 Kasota Ave., Minneapolis, MN'],</v>
      </c>
    </row>
    <row r="247" spans="1:5" x14ac:dyDescent="0.25">
      <c r="A247" s="16" t="s">
        <v>799</v>
      </c>
      <c r="B247" s="9" t="s">
        <v>262</v>
      </c>
      <c r="C247" s="6" t="s">
        <v>653</v>
      </c>
      <c r="D247" s="10" t="s">
        <v>14</v>
      </c>
      <c r="E247" s="1" t="str">
        <f t="shared" si="3"/>
        <v>[	36.075922	, -115.095093, 'Prime Now Distribution Center', '3650 East Post Road, Suite E. Las Vegas, NV'],</v>
      </c>
    </row>
    <row r="248" spans="1:5" x14ac:dyDescent="0.25">
      <c r="A248" s="16" t="s">
        <v>799</v>
      </c>
      <c r="B248" s="9" t="s">
        <v>263</v>
      </c>
      <c r="C248" s="6" t="s">
        <v>419</v>
      </c>
      <c r="D248" s="10" t="s">
        <v>14</v>
      </c>
      <c r="E248" s="1" t="str">
        <f t="shared" si="3"/>
        <v>[	40.749017	, -73.985299, 'Prime Now Distribution Center', '7 W. 34th St., New York, NY'],</v>
      </c>
    </row>
    <row r="249" spans="1:5" x14ac:dyDescent="0.25">
      <c r="A249" s="16" t="s">
        <v>799</v>
      </c>
      <c r="B249" s="9" t="s">
        <v>264</v>
      </c>
      <c r="C249" s="6" t="s">
        <v>654</v>
      </c>
      <c r="D249" s="10" t="s">
        <v>14</v>
      </c>
      <c r="E249" s="1" t="str">
        <f t="shared" si="3"/>
        <v>[	40.741287	, -73.978738, 'Prime Now Distribution Center', '501 2nd Avenue, Brooklyn, NY'],</v>
      </c>
    </row>
    <row r="250" spans="1:5" x14ac:dyDescent="0.25">
      <c r="A250" s="16" t="s">
        <v>799</v>
      </c>
      <c r="B250" s="9" t="s">
        <v>265</v>
      </c>
      <c r="C250" s="6" t="s">
        <v>655</v>
      </c>
      <c r="D250" s="10" t="s">
        <v>14</v>
      </c>
      <c r="E250" s="1" t="str">
        <f t="shared" si="3"/>
        <v>[	40.750268	, -74.037173, 'Prime Now Distribution Center', '940 Monroe Street, Hoboken, NJ'],</v>
      </c>
    </row>
    <row r="251" spans="1:5" x14ac:dyDescent="0.25">
      <c r="A251" s="16" t="s">
        <v>799</v>
      </c>
      <c r="B251" s="9" t="s">
        <v>266</v>
      </c>
      <c r="C251" s="6" t="s">
        <v>656</v>
      </c>
      <c r="D251" s="10" t="s">
        <v>14</v>
      </c>
      <c r="E251" s="1" t="str">
        <f t="shared" si="3"/>
        <v>[	35.239954	, -80.830945, 'Prime Now Distribution Center', '300 Dalton Avenue, Charlotte, NC'],</v>
      </c>
    </row>
    <row r="252" spans="1:5" x14ac:dyDescent="0.25">
      <c r="A252" s="16" t="s">
        <v>799</v>
      </c>
      <c r="B252" s="9" t="s">
        <v>267</v>
      </c>
      <c r="C252" s="6" t="s">
        <v>657</v>
      </c>
      <c r="D252" s="10" t="s">
        <v>14</v>
      </c>
      <c r="E252" s="1" t="str">
        <f t="shared" si="3"/>
        <v>[	35.823934	, -78.613342, 'Prime Now Distribution Center', '3200 Bush Street, Raleigh, NC'],</v>
      </c>
    </row>
    <row r="253" spans="1:5" x14ac:dyDescent="0.25">
      <c r="A253" s="16" t="s">
        <v>799</v>
      </c>
      <c r="B253" s="9" t="s">
        <v>268</v>
      </c>
      <c r="C253" s="6" t="s">
        <v>658</v>
      </c>
      <c r="D253" s="10" t="s">
        <v>14</v>
      </c>
      <c r="E253" s="1" t="str">
        <f t="shared" si="3"/>
        <v>[	39.192379	, -84.499018, 'Prime Now Distribution Center', '5845 Highland Ridge Drive, Cincinnati, OH'],</v>
      </c>
    </row>
    <row r="254" spans="1:5" x14ac:dyDescent="0.25">
      <c r="A254" s="16" t="s">
        <v>799</v>
      </c>
      <c r="B254" s="9" t="s">
        <v>269</v>
      </c>
      <c r="C254" s="6" t="s">
        <v>659</v>
      </c>
      <c r="D254" s="10" t="s">
        <v>14</v>
      </c>
      <c r="E254" s="1" t="str">
        <f t="shared" si="3"/>
        <v>[	39.972207	, -83.1003, 'Prime Now Distribution Center', '3563 Interchange Road, Columbus, OH'],</v>
      </c>
    </row>
    <row r="255" spans="1:5" x14ac:dyDescent="0.25">
      <c r="A255" s="16" t="s">
        <v>799</v>
      </c>
      <c r="B255" s="9" t="s">
        <v>270</v>
      </c>
      <c r="C255" s="6" t="s">
        <v>660</v>
      </c>
      <c r="D255" s="10" t="s">
        <v>14</v>
      </c>
      <c r="E255" s="1" t="str">
        <f t="shared" si="3"/>
        <v>[	45.538884	, -122.696456, 'Prime Now Distribution Center', '2250 Northwest 22nd Avenue, Portland, OR'],</v>
      </c>
    </row>
    <row r="256" spans="1:5" x14ac:dyDescent="0.25">
      <c r="A256" s="16" t="s">
        <v>799</v>
      </c>
      <c r="B256" s="9" t="s">
        <v>271</v>
      </c>
      <c r="C256" s="6" t="s">
        <v>661</v>
      </c>
      <c r="D256" s="10" t="s">
        <v>14</v>
      </c>
      <c r="E256" s="1" t="str">
        <f t="shared" si="3"/>
        <v>[	39.955618	, -75.205151, 'Prime Now Distribution Center', '4100 Chestnut Street, Philadelphia, PA'],</v>
      </c>
    </row>
    <row r="257" spans="1:5" x14ac:dyDescent="0.25">
      <c r="A257" s="16" t="s">
        <v>799</v>
      </c>
      <c r="B257" s="9" t="s">
        <v>272</v>
      </c>
      <c r="C257" s="6" t="s">
        <v>662</v>
      </c>
      <c r="D257" s="10" t="s">
        <v>14</v>
      </c>
      <c r="E257" s="1" t="str">
        <f t="shared" si="3"/>
        <v>[	36.091742	, -86.689702, 'Prime Now Distribution Center', '410 Harding Industrial Drive, Nashville, TN'],</v>
      </c>
    </row>
    <row r="258" spans="1:5" x14ac:dyDescent="0.25">
      <c r="A258" s="16" t="s">
        <v>799</v>
      </c>
      <c r="B258" s="9" t="s">
        <v>273</v>
      </c>
      <c r="C258" s="6" t="s">
        <v>612</v>
      </c>
      <c r="D258" s="10" t="s">
        <v>14</v>
      </c>
      <c r="E258" s="1" t="str">
        <f t="shared" si="3"/>
        <v>[	32.939376	, -97.028674, 'Prime Now Distribution Center', '2700 Regent Blvd, Irving, TX'],</v>
      </c>
    </row>
    <row r="259" spans="1:5" x14ac:dyDescent="0.25">
      <c r="A259" s="16" t="s">
        <v>799</v>
      </c>
      <c r="B259" s="9" t="s">
        <v>274</v>
      </c>
      <c r="C259" s="6" t="s">
        <v>663</v>
      </c>
      <c r="D259" s="10" t="s">
        <v>14</v>
      </c>
      <c r="E259" s="1" t="str">
        <f t="shared" ref="E259:E322" si="4">IF(ISBLANK($C259), "", "[" &amp; C259 &amp; ", '" &amp; A259 &amp; "', '" &amp; B259 &amp; "']" &amp; IF(E260 = "", "", ","))</f>
        <v>[	30.380971	, -97.717485, 'Prime Now Distribution Center', '2209 B Rutland Rd, Austin, TX'],</v>
      </c>
    </row>
    <row r="260" spans="1:5" x14ac:dyDescent="0.25">
      <c r="A260" s="16" t="s">
        <v>799</v>
      </c>
      <c r="B260" s="9" t="s">
        <v>275</v>
      </c>
      <c r="C260" s="6" t="s">
        <v>664</v>
      </c>
      <c r="D260" s="10" t="s">
        <v>14</v>
      </c>
      <c r="E260" s="1" t="str">
        <f t="shared" si="4"/>
        <v>[	29.833875	, -95.500477, 'Prime Now Distribution Center', '4221 Way Out West Drive, Houston, TX'],</v>
      </c>
    </row>
    <row r="261" spans="1:5" x14ac:dyDescent="0.25">
      <c r="A261" s="16" t="s">
        <v>799</v>
      </c>
      <c r="B261" s="9" t="s">
        <v>276</v>
      </c>
      <c r="C261" s="6" t="s">
        <v>665</v>
      </c>
      <c r="D261" s="10" t="s">
        <v>14</v>
      </c>
      <c r="E261" s="1" t="str">
        <f t="shared" si="4"/>
        <v>[	32.82846	, -96.845904, 'Prime Now Distribution Center', '6627 Maple Avenue, Dallas, TX'],</v>
      </c>
    </row>
    <row r="262" spans="1:5" x14ac:dyDescent="0.25">
      <c r="A262" s="16" t="s">
        <v>799</v>
      </c>
      <c r="B262" s="9" t="s">
        <v>277</v>
      </c>
      <c r="C262" s="6" t="s">
        <v>666</v>
      </c>
      <c r="D262" s="10" t="s">
        <v>14</v>
      </c>
      <c r="E262" s="1" t="str">
        <f t="shared" si="4"/>
        <v>[	29.525994	, -98.400545, 'Prime Now Distribution Center', '4848 Perrin Creek, San Antonio, TX'],</v>
      </c>
    </row>
    <row r="263" spans="1:5" x14ac:dyDescent="0.25">
      <c r="A263" s="16" t="s">
        <v>799</v>
      </c>
      <c r="B263" s="9" t="s">
        <v>219</v>
      </c>
      <c r="C263" s="6" t="s">
        <v>611</v>
      </c>
      <c r="D263" s="10" t="s">
        <v>14</v>
      </c>
      <c r="E263" s="1" t="str">
        <f t="shared" si="4"/>
        <v>[	32.828378	, -97.354617, 'Prime Now Distribution Center', '4601 Gold Spike Drive, Fort Worth, TX'],</v>
      </c>
    </row>
    <row r="264" spans="1:5" x14ac:dyDescent="0.25">
      <c r="A264" s="16" t="s">
        <v>799</v>
      </c>
      <c r="B264" s="9" t="s">
        <v>278</v>
      </c>
      <c r="C264" s="6" t="s">
        <v>614</v>
      </c>
      <c r="D264" s="10" t="s">
        <v>14</v>
      </c>
      <c r="E264" s="1" t="str">
        <f t="shared" si="4"/>
        <v>[	38.798621	, -77.169546, 'Prime Now Distribution Center', '5617 Industrial Dr, Springfield, VA'],</v>
      </c>
    </row>
    <row r="265" spans="1:5" x14ac:dyDescent="0.25">
      <c r="A265" s="16" t="s">
        <v>799</v>
      </c>
      <c r="B265" s="9" t="s">
        <v>279</v>
      </c>
      <c r="C265" s="6" t="s">
        <v>667</v>
      </c>
      <c r="D265" s="10" t="s">
        <v>14</v>
      </c>
      <c r="E265" s="1" t="str">
        <f t="shared" si="4"/>
        <v>[	36.7922	, -76.231798, 'Prime Now Distribution Center', '804 Greenbrier Circle, Chesapeake, VA'],</v>
      </c>
    </row>
    <row r="266" spans="1:5" x14ac:dyDescent="0.25">
      <c r="A266" s="16" t="s">
        <v>799</v>
      </c>
      <c r="B266" s="9" t="s">
        <v>280</v>
      </c>
      <c r="C266" s="6" t="s">
        <v>668</v>
      </c>
      <c r="D266" s="10" t="s">
        <v>14</v>
      </c>
      <c r="E266" s="1" t="str">
        <f t="shared" si="4"/>
        <v>[	37.583916	, -77.481577, 'Prime Now Distribution Center', '2263 Dabney Road, Richmond, VA'],</v>
      </c>
    </row>
    <row r="267" spans="1:5" x14ac:dyDescent="0.25">
      <c r="A267" s="16" t="s">
        <v>799</v>
      </c>
      <c r="B267" s="9" t="s">
        <v>281</v>
      </c>
      <c r="C267" s="6" t="s">
        <v>669</v>
      </c>
      <c r="D267" s="10" t="s">
        <v>14</v>
      </c>
      <c r="E267" s="1" t="str">
        <f t="shared" si="4"/>
        <v>[	47.705232	, -122.182558, 'Prime Now Distribution Center', '11710 118th Ave. N.E. , Kirkland, WA'],</v>
      </c>
    </row>
    <row r="268" spans="1:5" x14ac:dyDescent="0.25">
      <c r="A268" s="16" t="s">
        <v>799</v>
      </c>
      <c r="B268" s="9" t="s">
        <v>282</v>
      </c>
      <c r="C268" s="6" t="s">
        <v>670</v>
      </c>
      <c r="D268" s="10" t="s">
        <v>14</v>
      </c>
      <c r="E268" s="1" t="str">
        <f t="shared" si="4"/>
        <v>[	47.727985	, -122.345946, 'Prime Now Distribution Center', '13537 Aurora Ave. N., North Seattle, WA'],</v>
      </c>
    </row>
    <row r="269" spans="1:5" x14ac:dyDescent="0.25">
      <c r="A269" s="16" t="s">
        <v>799</v>
      </c>
      <c r="B269" s="9" t="s">
        <v>283</v>
      </c>
      <c r="C269" s="6" t="s">
        <v>671</v>
      </c>
      <c r="D269" s="10" t="s">
        <v>14</v>
      </c>
      <c r="E269" s="1" t="str">
        <f t="shared" si="4"/>
        <v>[	47.616679	, -122.338956, 'Prime Now Distribution Center', '2121 8th Ave., Seattle, WA'],</v>
      </c>
    </row>
    <row r="270" spans="1:5" x14ac:dyDescent="0.25">
      <c r="A270" s="16" t="s">
        <v>799</v>
      </c>
      <c r="B270" s="9" t="s">
        <v>284</v>
      </c>
      <c r="C270" s="6" t="s">
        <v>672</v>
      </c>
      <c r="D270" s="10" t="s">
        <v>14</v>
      </c>
      <c r="E270" s="1" t="str">
        <f t="shared" si="4"/>
        <v>[	47.580036	, -122.335577, 'Prime Now Distribution Center', '76 S Lander St., Seattle, WA'],</v>
      </c>
    </row>
    <row r="271" spans="1:5" x14ac:dyDescent="0.25">
      <c r="A271" s="16" t="s">
        <v>799</v>
      </c>
      <c r="B271" s="9" t="s">
        <v>285</v>
      </c>
      <c r="C271" s="6" t="s">
        <v>673</v>
      </c>
      <c r="D271" s="10" t="s">
        <v>14</v>
      </c>
      <c r="E271" s="1" t="str">
        <f t="shared" si="4"/>
        <v>[	47.585741	, -122.325553, 'Prime Now Distribution Center', '1926 6th Ave. S., Seattle, WA'],</v>
      </c>
    </row>
    <row r="272" spans="1:5" x14ac:dyDescent="0.25">
      <c r="A272" s="16" t="s">
        <v>799</v>
      </c>
      <c r="B272" s="9" t="s">
        <v>286</v>
      </c>
      <c r="C272" s="6" t="s">
        <v>674</v>
      </c>
      <c r="D272" s="10" t="s">
        <v>14</v>
      </c>
      <c r="E272" s="1" t="str">
        <f t="shared" si="4"/>
        <v>[	43.011852	, -87.964655, 'Prime Now Distribution Center', '4111 W Mitchell Street, Milwaukee, WI'],</v>
      </c>
    </row>
    <row r="273" spans="1:5" x14ac:dyDescent="0.25">
      <c r="A273" s="16" t="s">
        <v>800</v>
      </c>
      <c r="B273" s="9" t="s">
        <v>287</v>
      </c>
      <c r="C273" s="6" t="s">
        <v>675</v>
      </c>
      <c r="D273" s="10" t="s">
        <v>9</v>
      </c>
      <c r="E273" s="1" t="str">
        <f t="shared" si="4"/>
        <v>[	33.868225	, -117.237054, 'Inbound Cross Dock (Redistribution Centers)', '24300 Nandina Ave, Moreno Valley, CA'],</v>
      </c>
    </row>
    <row r="274" spans="1:5" x14ac:dyDescent="0.25">
      <c r="A274" s="16" t="s">
        <v>800</v>
      </c>
      <c r="B274" s="9" t="s">
        <v>288</v>
      </c>
      <c r="C274" s="6" t="s">
        <v>676</v>
      </c>
      <c r="D274" s="10" t="s">
        <v>9</v>
      </c>
      <c r="E274" s="1" t="str">
        <f t="shared" si="4"/>
        <v>[	34.127253	, -117.401059, 'Inbound Cross Dock (Redistribution Centers)', '1568 N Linden Ave, Rialto, CA'],</v>
      </c>
    </row>
    <row r="275" spans="1:5" x14ac:dyDescent="0.25">
      <c r="A275" s="16" t="s">
        <v>800</v>
      </c>
      <c r="B275" s="9" t="s">
        <v>289</v>
      </c>
      <c r="C275" s="6" t="s">
        <v>677</v>
      </c>
      <c r="D275" s="10" t="s">
        <v>9</v>
      </c>
      <c r="E275" s="1" t="str">
        <f t="shared" si="4"/>
        <v>[	41.483289	, -88.071143, 'Inbound Cross Dock (Redistribution Centers)', '250 Emerald Drive, Joliet, IL'],</v>
      </c>
    </row>
    <row r="276" spans="1:5" x14ac:dyDescent="0.25">
      <c r="A276" s="16" t="s">
        <v>800</v>
      </c>
      <c r="B276" s="9" t="s">
        <v>290</v>
      </c>
      <c r="C276" s="6" t="s">
        <v>678</v>
      </c>
      <c r="D276" s="10" t="s">
        <v>9</v>
      </c>
      <c r="E276" s="1" t="str">
        <f t="shared" si="4"/>
        <v>[	39.602599	, -86.050745, 'Inbound Cross Dock (Redistribution Centers)', 'Allen Road, Greenwood, IN'],</v>
      </c>
    </row>
    <row r="277" spans="1:5" x14ac:dyDescent="0.25">
      <c r="A277" s="16" t="s">
        <v>800</v>
      </c>
      <c r="B277" s="9" t="s">
        <v>291</v>
      </c>
      <c r="C277" s="6" t="s">
        <v>679</v>
      </c>
      <c r="D277" s="10" t="s">
        <v>9</v>
      </c>
      <c r="E277" s="1" t="str">
        <f t="shared" si="4"/>
        <v>[	39.062656	, -84.718168, 'Inbound Cross Dock (Redistribution Centers)', '3680 Langley Drive, Hebron, KY'],</v>
      </c>
    </row>
    <row r="278" spans="1:5" x14ac:dyDescent="0.25">
      <c r="A278" s="16" t="s">
        <v>800</v>
      </c>
      <c r="B278" s="9" t="s">
        <v>292</v>
      </c>
      <c r="C278" s="6" t="s">
        <v>680</v>
      </c>
      <c r="D278" s="10" t="s">
        <v>9</v>
      </c>
      <c r="E278" s="1" t="str">
        <f t="shared" si="4"/>
        <v>[	40.109382	, -74.800663, 'Inbound Cross Dock (Redistribution Centers)', '309 Cedar Lane, Florence, NJ'],</v>
      </c>
    </row>
    <row r="279" spans="1:5" x14ac:dyDescent="0.25">
      <c r="A279" s="16" t="s">
        <v>800</v>
      </c>
      <c r="B279" s="9" t="s">
        <v>293</v>
      </c>
      <c r="C279" s="6" t="s">
        <v>681</v>
      </c>
      <c r="D279" s="10" t="s">
        <v>9</v>
      </c>
      <c r="E279" s="1" t="str">
        <f t="shared" si="4"/>
        <v>[	35.245733	, -80.996704, 'Inbound Cross Dock (Redistribution Centers)', '10240 Old Dowd Road, Charlotte, NC'],</v>
      </c>
    </row>
    <row r="280" spans="1:5" x14ac:dyDescent="0.25">
      <c r="A280" s="16" t="s">
        <v>800</v>
      </c>
      <c r="B280" s="9" t="s">
        <v>294</v>
      </c>
      <c r="C280" s="6" t="s">
        <v>682</v>
      </c>
      <c r="D280" s="10" t="s">
        <v>9</v>
      </c>
      <c r="E280" s="1" t="str">
        <f t="shared" si="4"/>
        <v>[	40.92196	, -76.049831, 'Inbound Cross Dock (Redistribution Centers)', '550 Oak Ridge road, Hazleton, PA'],</v>
      </c>
    </row>
    <row r="281" spans="1:5" x14ac:dyDescent="0.25">
      <c r="A281" s="16" t="s">
        <v>800</v>
      </c>
      <c r="B281" s="9" t="s">
        <v>295</v>
      </c>
      <c r="C281" s="6" t="s">
        <v>683</v>
      </c>
      <c r="D281" s="10" t="s">
        <v>9</v>
      </c>
      <c r="E281" s="1" t="str">
        <f t="shared" si="4"/>
        <v>[	35.006255	, -89.954056, 'Inbound Cross Dock (Redistribution Centers)', '3282 E Holmes Road, Memphis, TN'],</v>
      </c>
    </row>
    <row r="282" spans="1:5" x14ac:dyDescent="0.25">
      <c r="A282" s="16" t="s">
        <v>800</v>
      </c>
      <c r="B282" s="9" t="s">
        <v>296</v>
      </c>
      <c r="C282" s="6" t="s">
        <v>684</v>
      </c>
      <c r="D282" s="10" t="s">
        <v>9</v>
      </c>
      <c r="E282" s="1" t="str">
        <f t="shared" si="4"/>
        <v>[	32.661004	, -96.736254, 'Inbound Cross Dock (Redistribution Centers)', '33333 Lyndon B. Johnson Freeway, Dallas, TX'],</v>
      </c>
    </row>
    <row r="283" spans="1:5" x14ac:dyDescent="0.25">
      <c r="A283" s="16" t="s">
        <v>801</v>
      </c>
      <c r="B283" s="9" t="s">
        <v>297</v>
      </c>
      <c r="C283" s="6" t="s">
        <v>685</v>
      </c>
      <c r="D283" s="10" t="s">
        <v>10</v>
      </c>
      <c r="E283" s="1" t="str">
        <f t="shared" si="4"/>
        <v>[	30.555733	, -88.21085, 'Regional Sortation Center', '6735 Trippel Road, Theodore, AL'],</v>
      </c>
    </row>
    <row r="284" spans="1:5" x14ac:dyDescent="0.25">
      <c r="A284" s="16" t="s">
        <v>801</v>
      </c>
      <c r="B284" s="9" t="s">
        <v>298</v>
      </c>
      <c r="C284" s="6" t="s">
        <v>430</v>
      </c>
      <c r="D284" s="10" t="s">
        <v>10</v>
      </c>
      <c r="E284" s="1" t="str">
        <f t="shared" si="4"/>
        <v>[	33.457092	, -112.225362, 'Regional Sortation Center', '800 N. 75th Ave, Phoenix, AZ'],</v>
      </c>
    </row>
    <row r="285" spans="1:5" x14ac:dyDescent="0.25">
      <c r="A285" s="16" t="s">
        <v>801</v>
      </c>
      <c r="B285" s="9" t="s">
        <v>207</v>
      </c>
      <c r="C285" s="6" t="s">
        <v>599</v>
      </c>
      <c r="D285" s="10" t="s">
        <v>10</v>
      </c>
      <c r="E285" s="1" t="str">
        <f t="shared" si="4"/>
        <v>[	37.520584	, -122.014483, 'Regional Sortation Center', '38811 Cherry Street, Newark, CA'],</v>
      </c>
    </row>
    <row r="286" spans="1:5" x14ac:dyDescent="0.25">
      <c r="A286" s="16" t="s">
        <v>801</v>
      </c>
      <c r="B286" s="9" t="s">
        <v>299</v>
      </c>
      <c r="C286" s="6" t="s">
        <v>597</v>
      </c>
      <c r="D286" s="10" t="s">
        <v>10</v>
      </c>
      <c r="E286" s="1" t="str">
        <f t="shared" si="4"/>
        <v>[	34.090073	, -117.241523, 'Regional Sortation Center', '2020 E. Central Ave., San Bernardino, CA'],</v>
      </c>
    </row>
    <row r="287" spans="1:5" x14ac:dyDescent="0.25">
      <c r="A287" s="16" t="s">
        <v>801</v>
      </c>
      <c r="B287" s="9" t="s">
        <v>300</v>
      </c>
      <c r="C287" s="6" t="s">
        <v>686</v>
      </c>
      <c r="D287" s="10" t="s">
        <v>10</v>
      </c>
      <c r="E287" s="1" t="str">
        <f t="shared" si="4"/>
        <v>[	33.86689	, -118.027977, 'Regional Sortation Center', '6400 Valley View Street, Bueno Park, CA'],</v>
      </c>
    </row>
    <row r="288" spans="1:5" x14ac:dyDescent="0.25">
      <c r="A288" s="16" t="s">
        <v>801</v>
      </c>
      <c r="B288" s="9" t="s">
        <v>301</v>
      </c>
      <c r="C288" s="6" t="s">
        <v>687</v>
      </c>
      <c r="D288" s="10" t="s">
        <v>10</v>
      </c>
      <c r="E288" s="1" t="str">
        <f t="shared" si="4"/>
        <v>[	38.398655	, -121.949356, 'Regional Sortation Center', '300 Crocker Drive, Vacaville, CA'],</v>
      </c>
    </row>
    <row r="289" spans="1:5" x14ac:dyDescent="0.25">
      <c r="A289" s="16" t="s">
        <v>801</v>
      </c>
      <c r="B289" s="9" t="s">
        <v>248</v>
      </c>
      <c r="C289" s="6" t="s">
        <v>640</v>
      </c>
      <c r="D289" s="10" t="s">
        <v>10</v>
      </c>
      <c r="E289" s="1" t="str">
        <f t="shared" si="4"/>
        <v>[	39.766831	, -104.755735, 'Regional Sortation Center', '19799 E. 36th Avenue, Aurora, CO'],</v>
      </c>
    </row>
    <row r="290" spans="1:5" x14ac:dyDescent="0.25">
      <c r="A290" s="16" t="s">
        <v>801</v>
      </c>
      <c r="B290" s="9" t="s">
        <v>302</v>
      </c>
      <c r="C290" s="6" t="s">
        <v>688</v>
      </c>
      <c r="D290" s="10" t="s">
        <v>10</v>
      </c>
      <c r="E290" s="1" t="str">
        <f t="shared" si="4"/>
        <v>[	41.496199	, -72.760878, 'Regional Sortation Center', '29 Research Parkway, Wallingford, CT'],</v>
      </c>
    </row>
    <row r="291" spans="1:5" x14ac:dyDescent="0.25">
      <c r="A291" s="16" t="s">
        <v>801</v>
      </c>
      <c r="B291" s="9" t="s">
        <v>303</v>
      </c>
      <c r="C291" s="6" t="s">
        <v>689</v>
      </c>
      <c r="D291" s="10" t="s">
        <v>10</v>
      </c>
      <c r="E291" s="1" t="str">
        <f t="shared" si="4"/>
        <v>[	28.251179	, -81.66275, 'Regional Sortation Center', '305 Deen Still Road , Davenport, FL'],</v>
      </c>
    </row>
    <row r="292" spans="1:5" x14ac:dyDescent="0.25">
      <c r="A292" s="16" t="s">
        <v>801</v>
      </c>
      <c r="B292" s="9" t="s">
        <v>304</v>
      </c>
      <c r="C292" s="6" t="s">
        <v>690</v>
      </c>
      <c r="D292" s="10" t="s">
        <v>10</v>
      </c>
      <c r="E292" s="1" t="str">
        <f t="shared" si="4"/>
        <v>[	25.792998	, -80.410867, 'Regional Sortation Center', '1900 NW 132nd Place , Miami, FL'],</v>
      </c>
    </row>
    <row r="293" spans="1:5" x14ac:dyDescent="0.25">
      <c r="A293" s="16" t="s">
        <v>801</v>
      </c>
      <c r="B293" s="9" t="s">
        <v>305</v>
      </c>
      <c r="C293" s="6" t="s">
        <v>691</v>
      </c>
      <c r="D293" s="10" t="s">
        <v>10</v>
      </c>
      <c r="E293" s="1" t="str">
        <f t="shared" si="4"/>
        <v>[	30.385254	, -81.789613, 'Regional Sortation Center', '4948 Bulls Bay Highway, Jacksonville, FL'],</v>
      </c>
    </row>
    <row r="294" spans="1:5" x14ac:dyDescent="0.25">
      <c r="A294" s="16" t="s">
        <v>801</v>
      </c>
      <c r="B294" s="9" t="s">
        <v>306</v>
      </c>
      <c r="C294" s="6" t="s">
        <v>692</v>
      </c>
      <c r="D294" s="10" t="s">
        <v>10</v>
      </c>
      <c r="E294" s="1" t="str">
        <f t="shared" si="4"/>
        <v>[	34.045999	, -84.603918, 'Regional Sortation Center', '4190 Jiles Road, Kennesaw, GA'],</v>
      </c>
    </row>
    <row r="295" spans="1:5" x14ac:dyDescent="0.25">
      <c r="A295" s="16" t="s">
        <v>801</v>
      </c>
      <c r="B295" s="9" t="s">
        <v>307</v>
      </c>
      <c r="C295" s="6" t="s">
        <v>693</v>
      </c>
      <c r="D295" s="10" t="s">
        <v>10</v>
      </c>
      <c r="E295" s="1" t="str">
        <f t="shared" si="4"/>
        <v>[	34.156993	, -83.637171, 'Regional Sortation Center', '235 Hog Mountain Road, Jefferson, GA'],</v>
      </c>
    </row>
    <row r="296" spans="1:5" x14ac:dyDescent="0.25">
      <c r="A296" s="16" t="s">
        <v>801</v>
      </c>
      <c r="B296" s="9" t="s">
        <v>308</v>
      </c>
      <c r="C296" s="6" t="s">
        <v>694</v>
      </c>
      <c r="D296" s="10" t="s">
        <v>10</v>
      </c>
      <c r="E296" s="1" t="str">
        <f t="shared" si="4"/>
        <v>[	41.578773	, -88.131369, 'Regional Sortation Center', '16824 Enterprise Blvd., Crest Hill, IL'],</v>
      </c>
    </row>
    <row r="297" spans="1:5" x14ac:dyDescent="0.25">
      <c r="A297" s="16" t="s">
        <v>801</v>
      </c>
      <c r="B297" s="9" t="s">
        <v>309</v>
      </c>
      <c r="C297" s="6" t="s">
        <v>695</v>
      </c>
      <c r="D297" s="10" t="s">
        <v>10</v>
      </c>
      <c r="E297" s="1" t="str">
        <f t="shared" si="4"/>
        <v>[	38.921428	, -94.782736, 'Regional Sortation Center', '16851 W 113th St, Lenexa, KS'],</v>
      </c>
    </row>
    <row r="298" spans="1:5" x14ac:dyDescent="0.25">
      <c r="A298" s="16" t="s">
        <v>801</v>
      </c>
      <c r="B298" s="9" t="s">
        <v>214</v>
      </c>
      <c r="C298" s="6" t="s">
        <v>606</v>
      </c>
      <c r="D298" s="10" t="s">
        <v>10</v>
      </c>
      <c r="E298" s="1" t="str">
        <f t="shared" si="4"/>
        <v>[	39.074752	, -84.718275, 'Regional Sortation Center', '2285 Litton Lane, Hebron, KY'],</v>
      </c>
    </row>
    <row r="299" spans="1:5" x14ac:dyDescent="0.25">
      <c r="A299" s="16" t="s">
        <v>801</v>
      </c>
      <c r="B299" s="9" t="s">
        <v>310</v>
      </c>
      <c r="C299" s="6" t="s">
        <v>696</v>
      </c>
      <c r="D299" s="10" t="s">
        <v>10</v>
      </c>
      <c r="E299" s="1" t="str">
        <f t="shared" si="4"/>
        <v>[	39.074364	, -84.72091, 'Regional Sortation Center', '2305 Litton Lane, Hebron, KY'],</v>
      </c>
    </row>
    <row r="300" spans="1:5" x14ac:dyDescent="0.25">
      <c r="A300" s="16" t="s">
        <v>801</v>
      </c>
      <c r="B300" s="9" t="s">
        <v>311</v>
      </c>
      <c r="C300" s="6" t="s">
        <v>697</v>
      </c>
      <c r="D300" s="10" t="s">
        <v>10</v>
      </c>
      <c r="E300" s="1" t="str">
        <f t="shared" si="4"/>
        <v>[	39.053587	, -84.656031, 'Regional Sortation Center', '2939 Terminal Drive, Hebron, KY'],</v>
      </c>
    </row>
    <row r="301" spans="1:5" x14ac:dyDescent="0.25">
      <c r="A301" s="16" t="s">
        <v>801</v>
      </c>
      <c r="B301" s="9" t="s">
        <v>258</v>
      </c>
      <c r="C301" s="6" t="s">
        <v>649</v>
      </c>
      <c r="D301" s="10" t="s">
        <v>10</v>
      </c>
      <c r="E301" s="1" t="str">
        <f t="shared" si="4"/>
        <v>[	39.270333	, -76.548419, 'Regional Sortation Center', '5001 Holabird Ave., Baltimore, MD'],</v>
      </c>
    </row>
    <row r="302" spans="1:5" x14ac:dyDescent="0.25">
      <c r="A302" s="16" t="s">
        <v>801</v>
      </c>
      <c r="B302" s="9" t="s">
        <v>312</v>
      </c>
      <c r="C302" s="6" t="s">
        <v>698</v>
      </c>
      <c r="D302" s="10" t="s">
        <v>10</v>
      </c>
      <c r="E302" s="1" t="str">
        <f t="shared" si="4"/>
        <v>[	42.147242	, -71.063244, 'Regional Sortation Center', '1000 Technology Center Drive, Stoughton, MA'],</v>
      </c>
    </row>
    <row r="303" spans="1:5" x14ac:dyDescent="0.25">
      <c r="A303" s="16" t="s">
        <v>801</v>
      </c>
      <c r="B303" s="9" t="s">
        <v>260</v>
      </c>
      <c r="C303" s="6" t="s">
        <v>651</v>
      </c>
      <c r="D303" s="10" t="s">
        <v>10</v>
      </c>
      <c r="E303" s="1" t="str">
        <f t="shared" si="4"/>
        <v>[	42.162177	, -83.237517, 'Regional Sortation Center', '19991 Brownstown Center Drive, Trenton, MI'],</v>
      </c>
    </row>
    <row r="304" spans="1:5" x14ac:dyDescent="0.25">
      <c r="A304" s="16" t="s">
        <v>801</v>
      </c>
      <c r="B304" s="9" t="s">
        <v>313</v>
      </c>
      <c r="C304" s="6" t="s">
        <v>699</v>
      </c>
      <c r="D304" s="10" t="s">
        <v>10</v>
      </c>
      <c r="E304" s="1" t="str">
        <f t="shared" si="4"/>
        <v>[	44.788412	, -93.442995, 'Regional Sortation Center', '5825 11th Ave. East, Shakopee, MN'],</v>
      </c>
    </row>
    <row r="305" spans="1:5" ht="25.5" x14ac:dyDescent="0.25">
      <c r="A305" s="16" t="s">
        <v>801</v>
      </c>
      <c r="B305" s="9" t="s">
        <v>314</v>
      </c>
      <c r="C305" s="6" t="s">
        <v>700</v>
      </c>
      <c r="D305" s="10" t="s">
        <v>10</v>
      </c>
      <c r="E305" s="1" t="str">
        <f t="shared" si="4"/>
        <v>[	38.768093	, -90.386238, 'Regional Sortation Center', '462 Hazelwood Logistics Center Drive, Hazelwood, MO'],</v>
      </c>
    </row>
    <row r="306" spans="1:5" x14ac:dyDescent="0.25">
      <c r="A306" s="16" t="s">
        <v>801</v>
      </c>
      <c r="B306" s="9" t="s">
        <v>315</v>
      </c>
      <c r="C306" s="6" t="s">
        <v>701</v>
      </c>
      <c r="D306" s="10" t="s">
        <v>10</v>
      </c>
      <c r="E306" s="1" t="str">
        <f t="shared" si="4"/>
        <v>[	39.775371	, -75.377834, 'Regional Sortation Center', '2277 Center Square Rd , Logan Township, NJ'],</v>
      </c>
    </row>
    <row r="307" spans="1:5" x14ac:dyDescent="0.25">
      <c r="A307" s="16" t="s">
        <v>801</v>
      </c>
      <c r="B307" s="9" t="s">
        <v>316</v>
      </c>
      <c r="C307" s="6" t="s">
        <v>702</v>
      </c>
      <c r="D307" s="10" t="s">
        <v>10</v>
      </c>
      <c r="E307" s="1" t="str">
        <f t="shared" si="4"/>
        <v>[	40.582739	, -74.255575, 'Regional Sortation Center', '301 Blair Road #100, Woodbridge, NJ'],</v>
      </c>
    </row>
    <row r="308" spans="1:5" x14ac:dyDescent="0.25">
      <c r="A308" s="16" t="s">
        <v>801</v>
      </c>
      <c r="B308" s="9" t="s">
        <v>317</v>
      </c>
      <c r="C308" s="6" t="s">
        <v>703</v>
      </c>
      <c r="D308" s="10" t="s">
        <v>10</v>
      </c>
      <c r="E308" s="1" t="str">
        <f t="shared" si="4"/>
        <v>[	36.263393	, -115.077922, 'Regional Sortation Center', '4410 Nexus Way, Las Vegas, NV'],</v>
      </c>
    </row>
    <row r="309" spans="1:5" x14ac:dyDescent="0.25">
      <c r="A309" s="16" t="s">
        <v>801</v>
      </c>
      <c r="B309" s="9" t="s">
        <v>318</v>
      </c>
      <c r="C309" s="6" t="s">
        <v>704</v>
      </c>
      <c r="D309" s="10" t="s">
        <v>10</v>
      </c>
      <c r="E309" s="1" t="str">
        <f t="shared" si="4"/>
        <v>[	42.920934	, -78.624338, 'Regional Sortation Center', '4201 Walden Avenue, Lancaster, NY'],</v>
      </c>
    </row>
    <row r="310" spans="1:5" x14ac:dyDescent="0.25">
      <c r="A310" s="16" t="s">
        <v>801</v>
      </c>
      <c r="B310" s="9" t="s">
        <v>319</v>
      </c>
      <c r="C310" s="6" t="s">
        <v>705</v>
      </c>
      <c r="D310" s="10" t="s">
        <v>10</v>
      </c>
      <c r="E310" s="1" t="str">
        <f t="shared" si="4"/>
        <v>[	35.389847	, -80.717152, 'Regional Sortation Center', '1745 Derita Rd, Concord, NC'],</v>
      </c>
    </row>
    <row r="311" spans="1:5" x14ac:dyDescent="0.25">
      <c r="A311" s="16" t="s">
        <v>801</v>
      </c>
      <c r="B311" s="9" t="s">
        <v>320</v>
      </c>
      <c r="C311" s="6" t="s">
        <v>706</v>
      </c>
      <c r="D311" s="10" t="s">
        <v>10</v>
      </c>
      <c r="E311" s="1" t="str">
        <f t="shared" si="4"/>
        <v>[	35.923111	, -78.831281, 'Regional Sortation Center', '1805 -RN Alexander Drive, Durham, NC'],</v>
      </c>
    </row>
    <row r="312" spans="1:5" x14ac:dyDescent="0.25">
      <c r="A312" s="16" t="s">
        <v>801</v>
      </c>
      <c r="B312" s="9" t="s">
        <v>321</v>
      </c>
      <c r="C312" s="6" t="s">
        <v>707</v>
      </c>
      <c r="D312" s="10" t="s">
        <v>10</v>
      </c>
      <c r="E312" s="1" t="str">
        <f t="shared" si="4"/>
        <v>[	41.30582	, -81.466999, 'Regional Sortation Center', '8685 Independence Parkway, Twinsburg, OH'],</v>
      </c>
    </row>
    <row r="313" spans="1:5" x14ac:dyDescent="0.25">
      <c r="A313" s="16" t="s">
        <v>801</v>
      </c>
      <c r="B313" s="9" t="s">
        <v>322</v>
      </c>
      <c r="C313" s="6" t="s">
        <v>708</v>
      </c>
      <c r="D313" s="10" t="s">
        <v>10</v>
      </c>
      <c r="E313" s="1" t="str">
        <f t="shared" si="4"/>
        <v>[	35.451904	, -97.653822, 'Regional Sortation Center', '1414 S. Council Road, Oklahoma City, OK'],</v>
      </c>
    </row>
    <row r="314" spans="1:5" x14ac:dyDescent="0.25">
      <c r="A314" s="16" t="s">
        <v>801</v>
      </c>
      <c r="B314" s="9" t="s">
        <v>323</v>
      </c>
      <c r="C314" s="6" t="s">
        <v>709</v>
      </c>
      <c r="D314" s="10" t="s">
        <v>10</v>
      </c>
      <c r="E314" s="1" t="str">
        <f t="shared" si="4"/>
        <v>[	45.558606	, -122.919579, 'Regional Sortation Center', '5647 NW Huffman Street, Washington, OR'],</v>
      </c>
    </row>
    <row r="315" spans="1:5" x14ac:dyDescent="0.25">
      <c r="A315" s="16" t="s">
        <v>801</v>
      </c>
      <c r="B315" s="9" t="s">
        <v>324</v>
      </c>
      <c r="C315" s="6" t="s">
        <v>710</v>
      </c>
      <c r="D315" s="10" t="s">
        <v>10</v>
      </c>
      <c r="E315" s="1" t="str">
        <f t="shared" si="4"/>
        <v>[	40.443905	, -80.082652, 'Regional Sortation Center', '2250 Roswell Drive, Pittsburgh, PA'],</v>
      </c>
    </row>
    <row r="316" spans="1:5" x14ac:dyDescent="0.25">
      <c r="A316" s="16" t="s">
        <v>801</v>
      </c>
      <c r="B316" s="9" t="s">
        <v>325</v>
      </c>
      <c r="C316" s="6" t="s">
        <v>711</v>
      </c>
      <c r="D316" s="10" t="s">
        <v>10</v>
      </c>
      <c r="E316" s="1" t="str">
        <f t="shared" si="4"/>
        <v>[	36.12976	, -86.692146, 'Regional Sortation Center', '50 Airways Blvd. , Nashville, TN'],</v>
      </c>
    </row>
    <row r="317" spans="1:5" x14ac:dyDescent="0.25">
      <c r="A317" s="16" t="s">
        <v>801</v>
      </c>
      <c r="B317" s="9" t="s">
        <v>273</v>
      </c>
      <c r="C317" s="6" t="s">
        <v>612</v>
      </c>
      <c r="D317" s="10" t="s">
        <v>10</v>
      </c>
      <c r="E317" s="1" t="str">
        <f t="shared" si="4"/>
        <v>[	32.939376	, -97.028674, 'Regional Sortation Center', '2700 Regent Blvd, Irving, TX'],</v>
      </c>
    </row>
    <row r="318" spans="1:5" x14ac:dyDescent="0.25">
      <c r="A318" s="16" t="s">
        <v>801</v>
      </c>
      <c r="B318" s="9" t="s">
        <v>326</v>
      </c>
      <c r="C318" s="6" t="s">
        <v>712</v>
      </c>
      <c r="D318" s="10" t="s">
        <v>10</v>
      </c>
      <c r="E318" s="1" t="str">
        <f t="shared" si="4"/>
        <v>[	29.999917	, -95.302246, 'Regional Sortation Center', '8120 Humble Westfield Rd, Humble, TX'],</v>
      </c>
    </row>
    <row r="319" spans="1:5" x14ac:dyDescent="0.25">
      <c r="A319" s="16" t="s">
        <v>801</v>
      </c>
      <c r="B319" s="9" t="s">
        <v>327</v>
      </c>
      <c r="C319" s="6" t="s">
        <v>713</v>
      </c>
      <c r="D319" s="10" t="s">
        <v>10</v>
      </c>
      <c r="E319" s="1" t="str">
        <f t="shared" si="4"/>
        <v>[	29.420977	, -98.59788, 'Regional Sortation Center', '1410 S. Callaghan Road, Bexar, TX'],</v>
      </c>
    </row>
    <row r="320" spans="1:5" ht="25.5" x14ac:dyDescent="0.25">
      <c r="A320" s="16" t="s">
        <v>801</v>
      </c>
      <c r="B320" s="9" t="s">
        <v>328</v>
      </c>
      <c r="C320" s="6" t="s">
        <v>588</v>
      </c>
      <c r="D320" s="10" t="s">
        <v>10</v>
      </c>
      <c r="E320" s="1" t="str">
        <f t="shared" si="4"/>
        <v>[	37.352017	, -77.327058, 'Regional Sortation Center', '1901 Meadowille Technology Parkway, Chesterfield, VA'],</v>
      </c>
    </row>
    <row r="321" spans="1:5" x14ac:dyDescent="0.25">
      <c r="A321" s="16" t="s">
        <v>801</v>
      </c>
      <c r="B321" s="9" t="s">
        <v>329</v>
      </c>
      <c r="C321" s="6" t="s">
        <v>714</v>
      </c>
      <c r="D321" s="10" t="s">
        <v>10</v>
      </c>
      <c r="E321" s="1" t="str">
        <f t="shared" si="4"/>
        <v>[	37.729194	, -77.455187, 'Regional Sortation Center', '11500 N. Lakeridge Parkway, Ashland, VA'],</v>
      </c>
    </row>
    <row r="322" spans="1:5" x14ac:dyDescent="0.25">
      <c r="A322" s="16" t="s">
        <v>801</v>
      </c>
      <c r="B322" s="9" t="s">
        <v>330</v>
      </c>
      <c r="C322" s="6" t="s">
        <v>715</v>
      </c>
      <c r="D322" s="10" t="s">
        <v>10</v>
      </c>
      <c r="E322" s="1" t="str">
        <f t="shared" si="4"/>
        <v>[	47.420221	, -122.261252, 'Regional Sortation Center', '20529 59th Place South, Kent, WA'],</v>
      </c>
    </row>
    <row r="323" spans="1:5" x14ac:dyDescent="0.25">
      <c r="A323" s="16" t="s">
        <v>801</v>
      </c>
      <c r="B323" s="9" t="s">
        <v>331</v>
      </c>
      <c r="C323" s="6" t="s">
        <v>716</v>
      </c>
      <c r="D323" s="10" t="s">
        <v>10</v>
      </c>
      <c r="E323" s="1" t="str">
        <f t="shared" ref="E323:E386" si="5">IF(ISBLANK($C323), "", "[" &amp; C323 &amp; ", '" &amp; A323 &amp; "', '" &amp; B323 &amp; "']" &amp; IF(E324 = "", "", ","))</f>
        <v>[	42.610346	, -87.943896, 'Regional Sortation Center', '11211 Burlington Road, Kenosha, WI'],</v>
      </c>
    </row>
    <row r="324" spans="1:5" x14ac:dyDescent="0.25">
      <c r="A324" s="16" t="s">
        <v>802</v>
      </c>
      <c r="B324" s="9" t="s">
        <v>332</v>
      </c>
      <c r="C324" s="6" t="s">
        <v>629</v>
      </c>
      <c r="D324" s="10" t="s">
        <v>13</v>
      </c>
      <c r="E324" s="1" t="str">
        <f t="shared" si="5"/>
        <v>[	33.443013	, -111.978891, 'Amazon Delivery Station', '500 S. 48th Street, Phoenix, AZ'],</v>
      </c>
    </row>
    <row r="325" spans="1:5" x14ac:dyDescent="0.25">
      <c r="A325" s="16" t="s">
        <v>802</v>
      </c>
      <c r="B325" s="9" t="s">
        <v>333</v>
      </c>
      <c r="C325" s="6" t="s">
        <v>717</v>
      </c>
      <c r="D325" s="10" t="s">
        <v>13</v>
      </c>
      <c r="E325" s="1" t="str">
        <f t="shared" si="5"/>
        <v>[	33.350702	, -111.833663, 'Amazon Delivery Station', '550 E. Elliot Rd, Chandler, AZ'],</v>
      </c>
    </row>
    <row r="326" spans="1:5" x14ac:dyDescent="0.25">
      <c r="A326" s="16" t="s">
        <v>802</v>
      </c>
      <c r="B326" s="9" t="s">
        <v>334</v>
      </c>
      <c r="C326" s="6" t="s">
        <v>718</v>
      </c>
      <c r="D326" s="10" t="s">
        <v>13</v>
      </c>
      <c r="E326" s="1" t="str">
        <f t="shared" si="5"/>
        <v>[	34.771838	, -92.261179, 'Amazon Delivery Station', '1920 N. Locust St., North Little Rock, AR'],</v>
      </c>
    </row>
    <row r="327" spans="1:5" x14ac:dyDescent="0.25">
      <c r="A327" s="16" t="s">
        <v>802</v>
      </c>
      <c r="B327" s="9" t="s">
        <v>335</v>
      </c>
      <c r="C327" s="6" t="s">
        <v>719</v>
      </c>
      <c r="D327" s="10" t="s">
        <v>13</v>
      </c>
      <c r="E327" s="1" t="str">
        <f t="shared" si="5"/>
        <v>[	37.720552	, -122.184272, 'Amazon Delivery Station', '990 Beecher St, San Leandro, CA'],</v>
      </c>
    </row>
    <row r="328" spans="1:5" x14ac:dyDescent="0.25">
      <c r="A328" s="16" t="s">
        <v>802</v>
      </c>
      <c r="B328" s="9" t="s">
        <v>336</v>
      </c>
      <c r="C328" s="6" t="s">
        <v>720</v>
      </c>
      <c r="D328" s="10" t="s">
        <v>13</v>
      </c>
      <c r="E328" s="1" t="str">
        <f t="shared" si="5"/>
        <v>[	37.403222	, -121.898328, 'Amazon Delivery Station', '1700 Montague Expy, San Jose, CA'],</v>
      </c>
    </row>
    <row r="329" spans="1:5" x14ac:dyDescent="0.25">
      <c r="A329" s="16" t="s">
        <v>802</v>
      </c>
      <c r="B329" s="9" t="s">
        <v>337</v>
      </c>
      <c r="C329" s="6" t="s">
        <v>721</v>
      </c>
      <c r="D329" s="10" t="s">
        <v>13</v>
      </c>
      <c r="E329" s="1" t="str">
        <f t="shared" si="5"/>
        <v>[	37.725005	, -122.155853, 'Amazon Delivery Station', '100-172 Washington Ave, San Leandro, CA'],</v>
      </c>
    </row>
    <row r="330" spans="1:5" x14ac:dyDescent="0.25">
      <c r="A330" s="16" t="s">
        <v>802</v>
      </c>
      <c r="B330" s="9" t="s">
        <v>338</v>
      </c>
      <c r="C330" s="6" t="s">
        <v>722</v>
      </c>
      <c r="D330" s="10" t="s">
        <v>13</v>
      </c>
      <c r="E330" s="1" t="str">
        <f t="shared" si="5"/>
        <v>[	37.646608	, -122.397605, 'Amazon Delivery Station', '250 Utah Avenue, South San Francisco, CA'],</v>
      </c>
    </row>
    <row r="331" spans="1:5" x14ac:dyDescent="0.25">
      <c r="A331" s="16" t="s">
        <v>802</v>
      </c>
      <c r="B331" s="9" t="s">
        <v>339</v>
      </c>
      <c r="C331" s="6" t="s">
        <v>723</v>
      </c>
      <c r="D331" s="10" t="s">
        <v>13</v>
      </c>
      <c r="E331" s="1" t="str">
        <f t="shared" si="5"/>
        <v>[	37.998565	, -122.348834, 'Amazon Delivery Station', '6015 Giant Road, Richmond, CA'],</v>
      </c>
    </row>
    <row r="332" spans="1:5" x14ac:dyDescent="0.25">
      <c r="A332" s="16" t="s">
        <v>802</v>
      </c>
      <c r="B332" s="9" t="s">
        <v>340</v>
      </c>
      <c r="C332" s="6" t="s">
        <v>724</v>
      </c>
      <c r="D332" s="10" t="s">
        <v>13</v>
      </c>
      <c r="E332" s="1" t="str">
        <f t="shared" si="5"/>
        <v>[	33.017232	, -117.090808, 'Amazon Delivery Station', '16550 Via Esprillo, San Diego, CA'],</v>
      </c>
    </row>
    <row r="333" spans="1:5" x14ac:dyDescent="0.25">
      <c r="A333" s="16" t="s">
        <v>802</v>
      </c>
      <c r="B333" s="9" t="s">
        <v>341</v>
      </c>
      <c r="C333" s="6" t="s">
        <v>725</v>
      </c>
      <c r="D333" s="10" t="s">
        <v>13</v>
      </c>
      <c r="E333" s="1" t="str">
        <f t="shared" si="5"/>
        <v>[	33.131471	, -117.256422, 'Amazon Delivery Station', '2777 Loker Ave W, Carlsbad, CA'],</v>
      </c>
    </row>
    <row r="334" spans="1:5" x14ac:dyDescent="0.25">
      <c r="A334" s="16" t="s">
        <v>802</v>
      </c>
      <c r="B334" s="9" t="s">
        <v>342</v>
      </c>
      <c r="C334" s="6" t="s">
        <v>726</v>
      </c>
      <c r="D334" s="10" t="s">
        <v>13</v>
      </c>
      <c r="E334" s="1" t="str">
        <f t="shared" si="5"/>
        <v>[	32.65995	, -117.11232, 'Amazon Delivery Station', '901 Bay Marina Dr, , CA'],</v>
      </c>
    </row>
    <row r="335" spans="1:5" x14ac:dyDescent="0.25">
      <c r="A335" s="16" t="s">
        <v>802</v>
      </c>
      <c r="B335" s="9" t="s">
        <v>343</v>
      </c>
      <c r="C335" s="6" t="s">
        <v>727</v>
      </c>
      <c r="D335" s="10" t="s">
        <v>13</v>
      </c>
      <c r="E335" s="1" t="str">
        <f t="shared" si="5"/>
        <v>[	32.747879	, -117.158001, 'Amazon Delivery Station', '711 University Ave., San Diego, CA'],</v>
      </c>
    </row>
    <row r="336" spans="1:5" x14ac:dyDescent="0.25">
      <c r="A336" s="16" t="s">
        <v>802</v>
      </c>
      <c r="B336" s="9" t="s">
        <v>344</v>
      </c>
      <c r="C336" s="6" t="s">
        <v>728</v>
      </c>
      <c r="D336" s="10" t="s">
        <v>13</v>
      </c>
      <c r="E336" s="1" t="str">
        <f t="shared" si="5"/>
        <v>[	33.962117	, -118.372218, 'Amazon Delivery Station', '900 W Florence Ave, Inglewood, CA'],</v>
      </c>
    </row>
    <row r="337" spans="1:5" x14ac:dyDescent="0.25">
      <c r="A337" s="16" t="s">
        <v>802</v>
      </c>
      <c r="B337" s="9" t="s">
        <v>345</v>
      </c>
      <c r="C337" s="6" t="s">
        <v>729</v>
      </c>
      <c r="D337" s="10" t="s">
        <v>13</v>
      </c>
      <c r="E337" s="1" t="str">
        <f t="shared" si="5"/>
        <v>[	33.880357	, -118.008036, 'Amazon Delivery Station', '5650 Dolly Ave, Buena Park, CA'],</v>
      </c>
    </row>
    <row r="338" spans="1:5" x14ac:dyDescent="0.25">
      <c r="A338" s="16" t="s">
        <v>802</v>
      </c>
      <c r="B338" s="9" t="s">
        <v>346</v>
      </c>
      <c r="C338" s="6" t="s">
        <v>730</v>
      </c>
      <c r="D338" s="10" t="s">
        <v>13</v>
      </c>
      <c r="E338" s="1" t="str">
        <f t="shared" si="5"/>
        <v>[	34.007992	, -118.14369, 'Amazon Delivery Station', '5829 Smithway St, Commerce, CA'],</v>
      </c>
    </row>
    <row r="339" spans="1:5" x14ac:dyDescent="0.25">
      <c r="A339" s="16" t="s">
        <v>802</v>
      </c>
      <c r="B339" s="9" t="s">
        <v>347</v>
      </c>
      <c r="C339" s="6" t="s">
        <v>731</v>
      </c>
      <c r="D339" s="10" t="s">
        <v>13</v>
      </c>
      <c r="E339" s="1" t="str">
        <f t="shared" si="5"/>
        <v>[	34.23468	, -118.584996, 'Amazon Delivery Station', '9031 Lurline Ave, Chatsworth, CA'],</v>
      </c>
    </row>
    <row r="340" spans="1:5" x14ac:dyDescent="0.25">
      <c r="A340" s="16" t="s">
        <v>802</v>
      </c>
      <c r="B340" s="9" t="s">
        <v>348</v>
      </c>
      <c r="C340" s="6" t="s">
        <v>732</v>
      </c>
      <c r="D340" s="10" t="s">
        <v>13</v>
      </c>
      <c r="E340" s="1" t="str">
        <f t="shared" si="5"/>
        <v>[	33.937744	, -117.297217, 'Amazon Delivery Station', '6250 Sycamore Canyon Blvd., Riverside, CA'],</v>
      </c>
    </row>
    <row r="341" spans="1:5" x14ac:dyDescent="0.25">
      <c r="A341" s="16" t="s">
        <v>802</v>
      </c>
      <c r="B341" s="9" t="s">
        <v>349</v>
      </c>
      <c r="C341" s="6" t="s">
        <v>733</v>
      </c>
      <c r="D341" s="10" t="s">
        <v>13</v>
      </c>
      <c r="E341" s="1" t="str">
        <f t="shared" si="5"/>
        <v>[	33.965477	, -117.653303, 'Amazon Delivery Station', '15940 Euclid Avenue, Chino, CA'],</v>
      </c>
    </row>
    <row r="342" spans="1:5" x14ac:dyDescent="0.25">
      <c r="A342" s="16" t="s">
        <v>802</v>
      </c>
      <c r="B342" s="9" t="s">
        <v>350</v>
      </c>
      <c r="C342" s="6" t="s">
        <v>734</v>
      </c>
      <c r="D342" s="10" t="s">
        <v>13</v>
      </c>
      <c r="E342" s="1" t="str">
        <f t="shared" si="5"/>
        <v>[	33.918134	, -118.324826, 'Amazon Delivery Station', '2815 W. El Segundo Blvd., Hawthorne, CA'],</v>
      </c>
    </row>
    <row r="343" spans="1:5" x14ac:dyDescent="0.25">
      <c r="A343" s="16" t="s">
        <v>802</v>
      </c>
      <c r="B343" s="9" t="s">
        <v>351</v>
      </c>
      <c r="C343" s="6" t="s">
        <v>735</v>
      </c>
      <c r="D343" s="10" t="s">
        <v>13</v>
      </c>
      <c r="E343" s="1" t="str">
        <f t="shared" si="5"/>
        <v>[	33.687701	, -117.847059, 'Amazon Delivery Station', '17871 Von Karman Ave, Irvine, CA'],</v>
      </c>
    </row>
    <row r="344" spans="1:5" x14ac:dyDescent="0.25">
      <c r="A344" s="16" t="s">
        <v>802</v>
      </c>
      <c r="B344" s="9" t="s">
        <v>352</v>
      </c>
      <c r="C344" s="6" t="s">
        <v>736</v>
      </c>
      <c r="D344" s="10" t="s">
        <v>13</v>
      </c>
      <c r="E344" s="1" t="str">
        <f t="shared" si="5"/>
        <v>[	34.084387	, -118.057472, 'Amazon Delivery Station', '4185 Temple City Blvd., Rosemead, CA'],</v>
      </c>
    </row>
    <row r="345" spans="1:5" x14ac:dyDescent="0.25">
      <c r="A345" s="16" t="s">
        <v>802</v>
      </c>
      <c r="B345" s="9" t="s">
        <v>353</v>
      </c>
      <c r="C345" s="6" t="s">
        <v>737</v>
      </c>
      <c r="D345" s="10" t="s">
        <v>13</v>
      </c>
      <c r="E345" s="1" t="str">
        <f t="shared" si="5"/>
        <v>[	38.584537	, -121.56607, 'Amazon Delivery Station', '1000 Riverside Pkwy, West Sacramento, CA'],</v>
      </c>
    </row>
    <row r="346" spans="1:5" x14ac:dyDescent="0.25">
      <c r="A346" s="16" t="s">
        <v>802</v>
      </c>
      <c r="B346" s="9" t="s">
        <v>354</v>
      </c>
      <c r="C346" s="6" t="s">
        <v>738</v>
      </c>
      <c r="D346" s="10" t="s">
        <v>13</v>
      </c>
      <c r="E346" s="1" t="str">
        <f t="shared" si="5"/>
        <v>[	37.812658	, -121.260312, 'Amazon Delivery Station', '2403 W. Louise Ave., Manteca, CA'],</v>
      </c>
    </row>
    <row r="347" spans="1:5" x14ac:dyDescent="0.25">
      <c r="A347" s="16" t="s">
        <v>802</v>
      </c>
      <c r="B347" s="9" t="s">
        <v>355</v>
      </c>
      <c r="C347" s="6" t="s">
        <v>739</v>
      </c>
      <c r="D347" s="10" t="s">
        <v>13</v>
      </c>
      <c r="E347" s="1" t="str">
        <f t="shared" si="5"/>
        <v>[	34.20191	, -118.930667, 'Amazon Delivery Station', '2595 Conejo Spectrum Street, Thousand Oaks, CA'],</v>
      </c>
    </row>
    <row r="348" spans="1:5" x14ac:dyDescent="0.25">
      <c r="A348" s="16" t="s">
        <v>802</v>
      </c>
      <c r="B348" s="9" t="s">
        <v>356</v>
      </c>
      <c r="C348" s="6" t="s">
        <v>740</v>
      </c>
      <c r="D348" s="10" t="s">
        <v>13</v>
      </c>
      <c r="E348" s="1" t="str">
        <f t="shared" si="5"/>
        <v>[	41.668721	, -72.922882, 'Amazon Delivery Station', '229 Industrial Park, Bristol, CT'],</v>
      </c>
    </row>
    <row r="349" spans="1:5" x14ac:dyDescent="0.25">
      <c r="A349" s="16" t="s">
        <v>802</v>
      </c>
      <c r="B349" s="9" t="s">
        <v>250</v>
      </c>
      <c r="C349" s="6" t="s">
        <v>642</v>
      </c>
      <c r="D349" s="10" t="s">
        <v>13</v>
      </c>
      <c r="E349" s="1" t="str">
        <f t="shared" si="5"/>
        <v>[	25.917574	, -80.22638, 'Amazon Delivery Station', '15600 NW 15th Ave, Miami Gardens, FL'],</v>
      </c>
    </row>
    <row r="350" spans="1:5" x14ac:dyDescent="0.25">
      <c r="A350" s="16" t="s">
        <v>802</v>
      </c>
      <c r="B350" s="9" t="s">
        <v>209</v>
      </c>
      <c r="C350" s="6" t="s">
        <v>601</v>
      </c>
      <c r="D350" s="10" t="s">
        <v>13</v>
      </c>
      <c r="E350" s="1" t="str">
        <f t="shared" si="5"/>
        <v>[	25.811364	, -80.306512, 'Amazon Delivery Station', '3200 Northwest 67th Avenue, Miami, FL'],</v>
      </c>
    </row>
    <row r="351" spans="1:5" x14ac:dyDescent="0.25">
      <c r="A351" s="16" t="s">
        <v>802</v>
      </c>
      <c r="B351" s="9" t="s">
        <v>357</v>
      </c>
      <c r="C351" s="6" t="s">
        <v>643</v>
      </c>
      <c r="D351" s="10" t="s">
        <v>13</v>
      </c>
      <c r="E351" s="1" t="str">
        <f t="shared" si="5"/>
        <v>[	25.799236	, -80.192999, 'Amazon Delivery Station', '101 NE 23rd Street, Miami, FL'],</v>
      </c>
    </row>
    <row r="352" spans="1:5" x14ac:dyDescent="0.25">
      <c r="A352" s="16" t="s">
        <v>802</v>
      </c>
      <c r="B352" s="9" t="s">
        <v>358</v>
      </c>
      <c r="C352" s="6" t="s">
        <v>741</v>
      </c>
      <c r="D352" s="10" t="s">
        <v>13</v>
      </c>
      <c r="E352" s="1" t="str">
        <f t="shared" si="5"/>
        <v>[	28.459265	, -81.440189, 'Amazon Delivery Station', '73 Kingspointe Pkwy, Orlando, FL'],</v>
      </c>
    </row>
    <row r="353" spans="1:5" x14ac:dyDescent="0.25">
      <c r="A353" s="16" t="s">
        <v>802</v>
      </c>
      <c r="B353" s="9" t="s">
        <v>359</v>
      </c>
      <c r="C353" s="6" t="s">
        <v>742</v>
      </c>
      <c r="D353" s="10" t="s">
        <v>13</v>
      </c>
      <c r="E353" s="1" t="str">
        <f t="shared" si="5"/>
        <v>[	30.432862	, -81.576188, 'Amazon Delivery Station', '11084 Cabot Commerce Circle, Jacksonville, FL'],</v>
      </c>
    </row>
    <row r="354" spans="1:5" x14ac:dyDescent="0.25">
      <c r="A354" s="16" t="s">
        <v>802</v>
      </c>
      <c r="B354" s="9" t="s">
        <v>360</v>
      </c>
      <c r="C354" s="6" t="s">
        <v>743</v>
      </c>
      <c r="D354" s="10" t="s">
        <v>13</v>
      </c>
      <c r="E354" s="1" t="str">
        <f t="shared" si="5"/>
        <v>[	27.581127	, -82.534575, 'Amazon Delivery Station', '2906 Corporate Way, Palmetto, FL'],</v>
      </c>
    </row>
    <row r="355" spans="1:5" x14ac:dyDescent="0.25">
      <c r="A355" s="16" t="s">
        <v>802</v>
      </c>
      <c r="B355" s="9" t="s">
        <v>361</v>
      </c>
      <c r="C355" s="6" t="s">
        <v>744</v>
      </c>
      <c r="D355" s="10" t="s">
        <v>13</v>
      </c>
      <c r="E355" s="1" t="str">
        <f t="shared" si="5"/>
        <v>[	27.949948	, -82.357211, 'Amazon Delivery Station', '8824 E Adamo Dr, Tampa, FL'],</v>
      </c>
    </row>
    <row r="356" spans="1:5" x14ac:dyDescent="0.25">
      <c r="A356" s="16" t="s">
        <v>802</v>
      </c>
      <c r="B356" s="9" t="s">
        <v>362</v>
      </c>
      <c r="C356" s="6" t="s">
        <v>745</v>
      </c>
      <c r="D356" s="10" t="s">
        <v>13</v>
      </c>
      <c r="E356" s="1" t="str">
        <f t="shared" si="5"/>
        <v>[	27.862633	, -82.65864, 'Amazon Delivery Station', '9900 18th Street N, St. Petersburg, FL'],</v>
      </c>
    </row>
    <row r="357" spans="1:5" x14ac:dyDescent="0.25">
      <c r="A357" s="16" t="s">
        <v>802</v>
      </c>
      <c r="B357" s="9" t="s">
        <v>363</v>
      </c>
      <c r="C357" s="6" t="s">
        <v>746</v>
      </c>
      <c r="D357" s="10" t="s">
        <v>13</v>
      </c>
      <c r="E357" s="1" t="str">
        <f t="shared" si="5"/>
        <v>[	33.830216	, -84.507523, 'Amazon Delivery Station', '4800 Highlands Pkwy SE, Smyrna, GA'],</v>
      </c>
    </row>
    <row r="358" spans="1:5" x14ac:dyDescent="0.25">
      <c r="A358" s="16" t="s">
        <v>802</v>
      </c>
      <c r="B358" s="9" t="s">
        <v>364</v>
      </c>
      <c r="C358" s="6" t="s">
        <v>747</v>
      </c>
      <c r="D358" s="10" t="s">
        <v>13</v>
      </c>
      <c r="E358" s="1" t="str">
        <f t="shared" si="5"/>
        <v>[	41.840228	, -87.684308, 'Amazon Delivery Station', '2801 S. Western Ave, Chicago, IL'],</v>
      </c>
    </row>
    <row r="359" spans="1:5" x14ac:dyDescent="0.25">
      <c r="A359" s="16" t="s">
        <v>802</v>
      </c>
      <c r="B359" s="9" t="s">
        <v>365</v>
      </c>
      <c r="C359" s="6" t="s">
        <v>748</v>
      </c>
      <c r="D359" s="10" t="s">
        <v>13</v>
      </c>
      <c r="E359" s="1" t="str">
        <f t="shared" si="5"/>
        <v>[	42.031458	, -87.777499, 'Amazon Delivery Station', '8290 Austin Ave, Morton Grove, IL'],</v>
      </c>
    </row>
    <row r="360" spans="1:5" x14ac:dyDescent="0.25">
      <c r="A360" s="16" t="s">
        <v>802</v>
      </c>
      <c r="B360" s="9" t="s">
        <v>366</v>
      </c>
      <c r="C360" s="6" t="s">
        <v>749</v>
      </c>
      <c r="D360" s="10" t="s">
        <v>13</v>
      </c>
      <c r="E360" s="1" t="str">
        <f t="shared" si="5"/>
        <v>[	41.803227	, -88.09725, 'Amazon Delivery Station', '4500 Western Ave, Lisle, IL'],</v>
      </c>
    </row>
    <row r="361" spans="1:5" x14ac:dyDescent="0.25">
      <c r="A361" s="16" t="s">
        <v>802</v>
      </c>
      <c r="B361" s="9" t="s">
        <v>367</v>
      </c>
      <c r="C361" s="6" t="s">
        <v>750</v>
      </c>
      <c r="D361" s="10" t="s">
        <v>13</v>
      </c>
      <c r="E361" s="1" t="str">
        <f t="shared" si="5"/>
        <v>[	42.254209	, -87.985689, 'Amazon Delivery Station', '401 Terrace Dr., Mundelein, IL'],</v>
      </c>
    </row>
    <row r="362" spans="1:5" x14ac:dyDescent="0.25">
      <c r="A362" s="16" t="s">
        <v>802</v>
      </c>
      <c r="B362" s="9" t="s">
        <v>368</v>
      </c>
      <c r="C362" s="6" t="s">
        <v>751</v>
      </c>
      <c r="D362" s="10" t="s">
        <v>13</v>
      </c>
      <c r="E362" s="1" t="str">
        <f t="shared" si="5"/>
        <v>[	40.154114	, -88.262821, 'Amazon Delivery Station', '2901 Boardwalk Drive, Champaign, IL'],</v>
      </c>
    </row>
    <row r="363" spans="1:5" x14ac:dyDescent="0.25">
      <c r="A363" s="16" t="s">
        <v>802</v>
      </c>
      <c r="B363" s="9" t="s">
        <v>369</v>
      </c>
      <c r="C363" s="6" t="s">
        <v>752</v>
      </c>
      <c r="D363" s="10" t="s">
        <v>13</v>
      </c>
      <c r="E363" s="1" t="str">
        <f t="shared" si="5"/>
        <v>[	39.898935	, -86.263937, 'Amazon Delivery Station', '5850 W 80th St, Indianapolis, IN'],</v>
      </c>
    </row>
    <row r="364" spans="1:5" x14ac:dyDescent="0.25">
      <c r="A364" s="16" t="s">
        <v>802</v>
      </c>
      <c r="B364" s="9" t="s">
        <v>213</v>
      </c>
      <c r="C364" s="6" t="s">
        <v>605</v>
      </c>
      <c r="D364" s="10" t="s">
        <v>13</v>
      </c>
      <c r="E364" s="1" t="str">
        <f t="shared" si="5"/>
        <v>[	39.050539	, -94.853114, 'Amazon Delivery Station', '23100 W 43rd Street, Shawnee, KS'],</v>
      </c>
    </row>
    <row r="365" spans="1:5" x14ac:dyDescent="0.25">
      <c r="A365" s="16" t="s">
        <v>802</v>
      </c>
      <c r="B365" s="9" t="s">
        <v>370</v>
      </c>
      <c r="C365" s="6" t="s">
        <v>753</v>
      </c>
      <c r="D365" s="10" t="s">
        <v>13</v>
      </c>
      <c r="E365" s="1" t="str">
        <f t="shared" si="5"/>
        <v>[	38.13957	, -85.893259, 'Amazon Delivery Station', '7230 Global Drive, Louisville, KY'],</v>
      </c>
    </row>
    <row r="366" spans="1:5" x14ac:dyDescent="0.25">
      <c r="A366" s="16" t="s">
        <v>802</v>
      </c>
      <c r="B366" s="9" t="s">
        <v>371</v>
      </c>
      <c r="C366" s="6" t="s">
        <v>754</v>
      </c>
      <c r="D366" s="10" t="s">
        <v>13</v>
      </c>
      <c r="E366" s="1" t="str">
        <f t="shared" si="5"/>
        <v>[	30.417004	, -91.072109, 'Amazon Delivery Station', '10021 Professional Blvd., Baton Rouge, LA'],</v>
      </c>
    </row>
    <row r="367" spans="1:5" x14ac:dyDescent="0.25">
      <c r="A367" s="16" t="s">
        <v>802</v>
      </c>
      <c r="B367" s="9" t="s">
        <v>372</v>
      </c>
      <c r="C367" s="6" t="s">
        <v>755</v>
      </c>
      <c r="D367" s="10" t="s">
        <v>13</v>
      </c>
      <c r="E367" s="1" t="str">
        <f t="shared" si="5"/>
        <v>[	39.247756	, -76.650806, 'Amazon Delivery Station', '86 Alco PI # 98, Lansdowne, MD'],</v>
      </c>
    </row>
    <row r="368" spans="1:5" x14ac:dyDescent="0.25">
      <c r="A368" s="16" t="s">
        <v>802</v>
      </c>
      <c r="B368" s="9" t="s">
        <v>373</v>
      </c>
      <c r="C368" s="6" t="s">
        <v>756</v>
      </c>
      <c r="D368" s="10" t="s">
        <v>13</v>
      </c>
      <c r="E368" s="1" t="str">
        <f t="shared" si="5"/>
        <v>[	39.170977	, -76.706417, 'Amazon Delivery Station', '7458 New Ridge Rd, Hanover, MD'],</v>
      </c>
    </row>
    <row r="369" spans="1:5" x14ac:dyDescent="0.25">
      <c r="A369" s="16" t="s">
        <v>802</v>
      </c>
      <c r="B369" s="9" t="s">
        <v>374</v>
      </c>
      <c r="C369" s="6" t="s">
        <v>757</v>
      </c>
      <c r="D369" s="10" t="s">
        <v>13</v>
      </c>
      <c r="E369" s="1" t="str">
        <f t="shared" si="5"/>
        <v>[	39.099726	, -77.140876, 'Amazon Delivery Station', '861 E Gude Drive, Rockville, MD'],</v>
      </c>
    </row>
    <row r="370" spans="1:5" x14ac:dyDescent="0.25">
      <c r="A370" s="16" t="s">
        <v>802</v>
      </c>
      <c r="B370" s="9" t="s">
        <v>215</v>
      </c>
      <c r="C370" s="6" t="s">
        <v>607</v>
      </c>
      <c r="D370" s="10" t="s">
        <v>13</v>
      </c>
      <c r="E370" s="1" t="str">
        <f t="shared" si="5"/>
        <v>[	42.393546	, -71.053677, 'Amazon Delivery Station', '201 Beacham Street, Everett, MA'],</v>
      </c>
    </row>
    <row r="371" spans="1:5" x14ac:dyDescent="0.25">
      <c r="A371" s="16" t="s">
        <v>802</v>
      </c>
      <c r="B371" s="9" t="s">
        <v>375</v>
      </c>
      <c r="C371" s="6" t="s">
        <v>758</v>
      </c>
      <c r="D371" s="10" t="s">
        <v>13</v>
      </c>
      <c r="E371" s="1" t="str">
        <f t="shared" si="5"/>
        <v>[	42.234043	, -71.140481, 'Amazon Delivery Station', '500 Sprague St., Dedham, MA'],</v>
      </c>
    </row>
    <row r="372" spans="1:5" x14ac:dyDescent="0.25">
      <c r="A372" s="16" t="s">
        <v>802</v>
      </c>
      <c r="B372" s="9" t="s">
        <v>376</v>
      </c>
      <c r="C372" s="6" t="s">
        <v>759</v>
      </c>
      <c r="D372" s="10" t="s">
        <v>13</v>
      </c>
      <c r="E372" s="1" t="str">
        <f t="shared" si="5"/>
        <v>[	42.139462	, -71.492891, 'Amazon Delivery Station', '8 Industrial Rd., Milford, MA'],</v>
      </c>
    </row>
    <row r="373" spans="1:5" x14ac:dyDescent="0.25">
      <c r="A373" s="16" t="s">
        <v>802</v>
      </c>
      <c r="B373" s="9" t="s">
        <v>377</v>
      </c>
      <c r="C373" s="6" t="s">
        <v>760</v>
      </c>
      <c r="D373" s="10" t="s">
        <v>13</v>
      </c>
      <c r="E373" s="1" t="str">
        <f t="shared" si="5"/>
        <v>[	42.206052	, -71.032319, 'Amazon Delivery Station', '175 Campanelli Drive, Braintree, MA'],</v>
      </c>
    </row>
    <row r="374" spans="1:5" x14ac:dyDescent="0.25">
      <c r="A374" s="16" t="s">
        <v>802</v>
      </c>
      <c r="B374" s="9" t="s">
        <v>378</v>
      </c>
      <c r="C374" s="6" t="s">
        <v>761</v>
      </c>
      <c r="D374" s="10" t="s">
        <v>13</v>
      </c>
      <c r="E374" s="1" t="str">
        <f t="shared" si="5"/>
        <v>[	42.476035	, -83.092093, 'Amazon Delivery Station', '1400 E 10 Mile Road, Hazel Park, MI'],</v>
      </c>
    </row>
    <row r="375" spans="1:5" x14ac:dyDescent="0.25">
      <c r="A375" s="16" t="s">
        <v>802</v>
      </c>
      <c r="B375" s="9" t="s">
        <v>379</v>
      </c>
      <c r="C375" s="6" t="s">
        <v>762</v>
      </c>
      <c r="D375" s="10" t="s">
        <v>13</v>
      </c>
      <c r="E375" s="1" t="str">
        <f t="shared" si="5"/>
        <v>[	44.85349	, -93.13625, 'Amazon Delivery Station', '2811 Beverly Drive , Eagan, MN'],</v>
      </c>
    </row>
    <row r="376" spans="1:5" ht="25.5" x14ac:dyDescent="0.25">
      <c r="A376" s="16" t="s">
        <v>802</v>
      </c>
      <c r="B376" s="9" t="s">
        <v>380</v>
      </c>
      <c r="C376" s="6" t="s">
        <v>763</v>
      </c>
      <c r="D376" s="10" t="s">
        <v>13</v>
      </c>
      <c r="E376" s="1" t="str">
        <f t="shared" si="5"/>
        <v>[	38.768181	, -90.385379, 'Amazon Delivery Station', ' 441 Hazelwood Logistics Center Drive, Hazelwood, MO'],</v>
      </c>
    </row>
    <row r="377" spans="1:5" x14ac:dyDescent="0.25">
      <c r="A377" s="16" t="s">
        <v>802</v>
      </c>
      <c r="B377" s="9" t="s">
        <v>381</v>
      </c>
      <c r="C377" s="6" t="s">
        <v>764</v>
      </c>
      <c r="D377" s="10" t="s">
        <v>13</v>
      </c>
      <c r="E377" s="1" t="str">
        <f t="shared" si="5"/>
        <v>[	36.06977	, -115.182802, 'Amazon Delivery Station', '3165 W. Sunset Rd, Las Vegas, NV'],</v>
      </c>
    </row>
    <row r="378" spans="1:5" x14ac:dyDescent="0.25">
      <c r="A378" s="16" t="s">
        <v>802</v>
      </c>
      <c r="B378" s="9" t="s">
        <v>382</v>
      </c>
      <c r="C378" s="6" t="s">
        <v>765</v>
      </c>
      <c r="D378" s="10" t="s">
        <v>13</v>
      </c>
      <c r="E378" s="1" t="str">
        <f t="shared" si="5"/>
        <v>[	42.791897	, -71.529552, 'Amazon Delivery Station', '10 State Street, Nashua, NH'],</v>
      </c>
    </row>
    <row r="379" spans="1:5" x14ac:dyDescent="0.25">
      <c r="A379" s="16" t="s">
        <v>802</v>
      </c>
      <c r="B379" s="9" t="s">
        <v>383</v>
      </c>
      <c r="C379" s="6" t="s">
        <v>766</v>
      </c>
      <c r="D379" s="10" t="s">
        <v>13</v>
      </c>
      <c r="E379" s="1" t="str">
        <f t="shared" si="5"/>
        <v>[	40.833663	, -74.050759, 'Amazon Delivery Station', '2 Empire Boulevard, Moonachie, NJ'],</v>
      </c>
    </row>
    <row r="380" spans="1:5" x14ac:dyDescent="0.25">
      <c r="A380" s="16" t="s">
        <v>802</v>
      </c>
      <c r="B380" s="9" t="s">
        <v>384</v>
      </c>
      <c r="C380" s="6" t="s">
        <v>767</v>
      </c>
      <c r="D380" s="10" t="s">
        <v>13</v>
      </c>
      <c r="E380" s="1" t="str">
        <f t="shared" si="5"/>
        <v>[	40.659415	, -74.004489, 'Amazon Delivery Station', '850 Third Avenue, Brooklyn, NY'],</v>
      </c>
    </row>
    <row r="381" spans="1:5" x14ac:dyDescent="0.25">
      <c r="A381" s="16" t="s">
        <v>802</v>
      </c>
      <c r="B381" s="9" t="s">
        <v>385</v>
      </c>
      <c r="C381" s="6" t="s">
        <v>768</v>
      </c>
      <c r="D381" s="10" t="s">
        <v>13</v>
      </c>
      <c r="E381" s="1" t="str">
        <f t="shared" si="5"/>
        <v>[	40.669095	, -74.186626, 'Amazon Delivery Station', '630 Sullivan Rd, Elizabeth, NJ'],</v>
      </c>
    </row>
    <row r="382" spans="1:5" x14ac:dyDescent="0.25">
      <c r="A382" s="16" t="s">
        <v>802</v>
      </c>
      <c r="B382" s="9" t="s">
        <v>386</v>
      </c>
      <c r="C382" s="6" t="s">
        <v>769</v>
      </c>
      <c r="D382" s="10" t="s">
        <v>13</v>
      </c>
      <c r="E382" s="1" t="str">
        <f t="shared" si="5"/>
        <v>[	42.750662	, -73.694764, 'Amazon Delivery Station', '75 Cohoes Ave., Green Island Village, NY'],</v>
      </c>
    </row>
    <row r="383" spans="1:5" x14ac:dyDescent="0.25">
      <c r="A383" s="16" t="s">
        <v>802</v>
      </c>
      <c r="B383" s="9" t="s">
        <v>387</v>
      </c>
      <c r="C383" s="6" t="s">
        <v>770</v>
      </c>
      <c r="D383" s="10" t="s">
        <v>13</v>
      </c>
      <c r="E383" s="1" t="str">
        <f t="shared" si="5"/>
        <v>[	40.747448	, -73.492595, 'Amazon Delivery Station', '201 Grumman road W., Bethpage, NY'],</v>
      </c>
    </row>
    <row r="384" spans="1:5" x14ac:dyDescent="0.25">
      <c r="A384" s="16" t="s">
        <v>802</v>
      </c>
      <c r="B384" s="9" t="s">
        <v>388</v>
      </c>
      <c r="C384" s="6" t="s">
        <v>771</v>
      </c>
      <c r="D384" s="10" t="s">
        <v>13</v>
      </c>
      <c r="E384" s="1" t="str">
        <f t="shared" si="5"/>
        <v>[	43.084152	, -77.61764, 'Amazon Delivery Station', '330 Clay Road, Rochester, NY'],</v>
      </c>
    </row>
    <row r="385" spans="1:5" x14ac:dyDescent="0.25">
      <c r="A385" s="16" t="s">
        <v>802</v>
      </c>
      <c r="B385" s="9" t="s">
        <v>389</v>
      </c>
      <c r="C385" s="6" t="s">
        <v>772</v>
      </c>
      <c r="D385" s="10" t="s">
        <v>13</v>
      </c>
      <c r="E385" s="1" t="str">
        <f t="shared" si="5"/>
        <v>[	35.243339	, -80.992652, 'Amazon Delivery Station', '3830 Parrott Drive, Charlotte, NC'],</v>
      </c>
    </row>
    <row r="386" spans="1:5" x14ac:dyDescent="0.25">
      <c r="A386" s="16" t="s">
        <v>802</v>
      </c>
      <c r="B386" s="9" t="s">
        <v>390</v>
      </c>
      <c r="C386" s="6" t="s">
        <v>773</v>
      </c>
      <c r="D386" s="10" t="s">
        <v>13</v>
      </c>
      <c r="E386" s="1" t="str">
        <f t="shared" si="5"/>
        <v>[	39.335756	, -84.48273, 'Amazon Delivery Station', '4250 Port Union Rd, Fairfield, OH'],</v>
      </c>
    </row>
    <row r="387" spans="1:5" x14ac:dyDescent="0.25">
      <c r="A387" s="16" t="s">
        <v>802</v>
      </c>
      <c r="B387" s="9" t="s">
        <v>391</v>
      </c>
      <c r="C387" s="6" t="s">
        <v>774</v>
      </c>
      <c r="D387" s="10" t="s">
        <v>13</v>
      </c>
      <c r="E387" s="1" t="str">
        <f t="shared" ref="E387:E450" si="6">IF(ISBLANK($C387), "", "[" &amp; C387 &amp; ", '" &amp; A387 &amp; "', '" &amp; B387 &amp; "']" &amp; IF(E388 = "", "", ","))</f>
        <v>[	41.598465	, -81.499143, 'Amazon Delivery Station', '26555 Bluestone Blvd., Euclid, OH'],</v>
      </c>
    </row>
    <row r="388" spans="1:5" x14ac:dyDescent="0.25">
      <c r="A388" s="16" t="s">
        <v>802</v>
      </c>
      <c r="B388" s="9" t="s">
        <v>392</v>
      </c>
      <c r="C388" s="6" t="s">
        <v>775</v>
      </c>
      <c r="D388" s="10" t="s">
        <v>13</v>
      </c>
      <c r="E388" s="1" t="str">
        <f t="shared" si="6"/>
        <v>[	35.581278	, -97.439319, 'Amazon Delivery Station', '4401 E Hefner Road, Oklahoma City, OK'],</v>
      </c>
    </row>
    <row r="389" spans="1:5" x14ac:dyDescent="0.25">
      <c r="A389" s="16" t="s">
        <v>802</v>
      </c>
      <c r="B389" s="9" t="s">
        <v>393</v>
      </c>
      <c r="C389" s="6" t="s">
        <v>776</v>
      </c>
      <c r="D389" s="10" t="s">
        <v>13</v>
      </c>
      <c r="E389" s="1" t="str">
        <f t="shared" si="6"/>
        <v>[	45.548791	, -122.724524, 'Amazon Delivery Station', '3610 NW St Helens Rd, Portland, OR'],</v>
      </c>
    </row>
    <row r="390" spans="1:5" x14ac:dyDescent="0.25">
      <c r="A390" s="16" t="s">
        <v>802</v>
      </c>
      <c r="B390" s="9" t="s">
        <v>394</v>
      </c>
      <c r="C390" s="6" t="s">
        <v>777</v>
      </c>
      <c r="D390" s="10" t="s">
        <v>13</v>
      </c>
      <c r="E390" s="1" t="str">
        <f t="shared" si="6"/>
        <v>[	39.994264	, -75.077358, 'Amazon Delivery Station', '4219 Richmond Street, Philadelphia, PA'],</v>
      </c>
    </row>
    <row r="391" spans="1:5" x14ac:dyDescent="0.25">
      <c r="A391" s="16" t="s">
        <v>802</v>
      </c>
      <c r="B391" s="9" t="s">
        <v>395</v>
      </c>
      <c r="C391" s="6" t="s">
        <v>778</v>
      </c>
      <c r="D391" s="10" t="s">
        <v>13</v>
      </c>
      <c r="E391" s="1" t="str">
        <f t="shared" si="6"/>
        <v>[	40.093963	, -75.402029, 'Amazon Delivery Station', '500 American Avenue, King of Prussia, PA'],</v>
      </c>
    </row>
    <row r="392" spans="1:5" x14ac:dyDescent="0.25">
      <c r="A392" s="16" t="s">
        <v>802</v>
      </c>
      <c r="B392" s="9" t="s">
        <v>396</v>
      </c>
      <c r="C392" s="6" t="s">
        <v>779</v>
      </c>
      <c r="D392" s="10" t="s">
        <v>13</v>
      </c>
      <c r="E392" s="1" t="str">
        <f t="shared" si="6"/>
        <v>[	40.189913	, -74.870404, 'Amazon Delivery Station', '2251 Cabot Blvd W, Langhorne, PA'],</v>
      </c>
    </row>
    <row r="393" spans="1:5" x14ac:dyDescent="0.25">
      <c r="A393" s="16" t="s">
        <v>802</v>
      </c>
      <c r="B393" s="9" t="s">
        <v>397</v>
      </c>
      <c r="C393" s="6" t="s">
        <v>780</v>
      </c>
      <c r="D393" s="10" t="s">
        <v>13</v>
      </c>
      <c r="E393" s="1" t="str">
        <f t="shared" si="6"/>
        <v>[	40.530833	, -80.138819, 'Amazon Delivery Station', '501 North Drive, Sewickley, PA'],</v>
      </c>
    </row>
    <row r="394" spans="1:5" x14ac:dyDescent="0.25">
      <c r="A394" s="16" t="s">
        <v>802</v>
      </c>
      <c r="B394" s="9" t="s">
        <v>398</v>
      </c>
      <c r="C394" s="6" t="s">
        <v>781</v>
      </c>
      <c r="D394" s="10" t="s">
        <v>13</v>
      </c>
      <c r="E394" s="1" t="str">
        <f t="shared" si="6"/>
        <v>[	32.989889	, -80.106853, 'Amazon Delivery Station', '9801 Highway 78, Ladson, SC'],</v>
      </c>
    </row>
    <row r="395" spans="1:5" x14ac:dyDescent="0.25">
      <c r="A395" s="16" t="s">
        <v>802</v>
      </c>
      <c r="B395" s="9" t="s">
        <v>399</v>
      </c>
      <c r="C395" s="6" t="s">
        <v>782</v>
      </c>
      <c r="D395" s="10" t="s">
        <v>13</v>
      </c>
      <c r="E395" s="1" t="str">
        <f t="shared" si="6"/>
        <v>[	36.214401	, -86.778252, 'Amazon Delivery Station', 'Southerland Dr, Nashville, TN'],</v>
      </c>
    </row>
    <row r="396" spans="1:5" x14ac:dyDescent="0.25">
      <c r="A396" s="16" t="s">
        <v>802</v>
      </c>
      <c r="B396" s="9" t="s">
        <v>400</v>
      </c>
      <c r="C396" s="6" t="s">
        <v>783</v>
      </c>
      <c r="D396" s="10" t="s">
        <v>13</v>
      </c>
      <c r="E396" s="1" t="str">
        <f t="shared" si="6"/>
        <v>[	35.115172	, -90.066758, 'Amazon Delivery Station', '109 W. McLemore, Memphis, TN'],</v>
      </c>
    </row>
    <row r="397" spans="1:5" x14ac:dyDescent="0.25">
      <c r="A397" s="16" t="s">
        <v>802</v>
      </c>
      <c r="B397" s="9" t="s">
        <v>274</v>
      </c>
      <c r="C397" s="6" t="s">
        <v>663</v>
      </c>
      <c r="D397" s="10" t="s">
        <v>13</v>
      </c>
      <c r="E397" s="1" t="str">
        <f t="shared" si="6"/>
        <v>[	30.380971	, -97.717485, 'Amazon Delivery Station', '2209 B Rutland Rd, Austin, TX'],</v>
      </c>
    </row>
    <row r="398" spans="1:5" x14ac:dyDescent="0.25">
      <c r="A398" s="16" t="s">
        <v>802</v>
      </c>
      <c r="B398" s="9" t="s">
        <v>401</v>
      </c>
      <c r="C398" s="6" t="s">
        <v>784</v>
      </c>
      <c r="D398" s="10" t="s">
        <v>13</v>
      </c>
      <c r="E398" s="1" t="str">
        <f t="shared" si="6"/>
        <v>[	32.918687	, -96.901436, 'Amazon Delivery Station', '12401 North Stemmons Fwy, Farmers Branch, TX'],</v>
      </c>
    </row>
    <row r="399" spans="1:5" x14ac:dyDescent="0.25">
      <c r="A399" s="16" t="s">
        <v>802</v>
      </c>
      <c r="B399" s="9" t="s">
        <v>402</v>
      </c>
      <c r="C399" s="6" t="s">
        <v>785</v>
      </c>
      <c r="D399" s="10" t="s">
        <v>13</v>
      </c>
      <c r="E399" s="1" t="str">
        <f t="shared" si="6"/>
        <v>[	32.893519	, -96.688875, 'Amazon Delivery Station', '3838 W Miller Road, Garland, TX'],</v>
      </c>
    </row>
    <row r="400" spans="1:5" x14ac:dyDescent="0.25">
      <c r="A400" s="16" t="s">
        <v>802</v>
      </c>
      <c r="B400" s="9" t="s">
        <v>219</v>
      </c>
      <c r="C400" s="6" t="s">
        <v>611</v>
      </c>
      <c r="D400" s="10" t="s">
        <v>13</v>
      </c>
      <c r="E400" s="1" t="str">
        <f t="shared" si="6"/>
        <v>[	32.828378	, -97.354617, 'Amazon Delivery Station', '4601 Gold Spike Drive, Fort Worth, TX'],</v>
      </c>
    </row>
    <row r="401" spans="1:5" x14ac:dyDescent="0.25">
      <c r="A401" s="16" t="s">
        <v>802</v>
      </c>
      <c r="B401" s="9" t="s">
        <v>403</v>
      </c>
      <c r="C401" s="6" t="s">
        <v>786</v>
      </c>
      <c r="D401" s="10" t="s">
        <v>13</v>
      </c>
      <c r="E401" s="1" t="str">
        <f t="shared" si="6"/>
        <v>[	29.940885	, -95.544277, 'Amazon Delivery Station', '11720 N Lessner Rd, Houston, TX'],</v>
      </c>
    </row>
    <row r="402" spans="1:5" ht="25.5" x14ac:dyDescent="0.25">
      <c r="A402" s="16" t="s">
        <v>802</v>
      </c>
      <c r="B402" s="9" t="s">
        <v>404</v>
      </c>
      <c r="C402" s="6" t="s">
        <v>787</v>
      </c>
      <c r="D402" s="10" t="s">
        <v>13</v>
      </c>
      <c r="E402" s="1" t="str">
        <f t="shared" si="6"/>
        <v>[	40.722183	, -111.993972, 'Amazon Delivery Station', '201 Commerce Center Drive West, West Valley City, UT'],</v>
      </c>
    </row>
    <row r="403" spans="1:5" x14ac:dyDescent="0.25">
      <c r="A403" s="16" t="s">
        <v>802</v>
      </c>
      <c r="B403" s="9" t="s">
        <v>278</v>
      </c>
      <c r="C403" s="6" t="s">
        <v>614</v>
      </c>
      <c r="D403" s="10" t="s">
        <v>13</v>
      </c>
      <c r="E403" s="1" t="str">
        <f t="shared" si="6"/>
        <v>[	38.798621	, -77.169546, 'Amazon Delivery Station', '5617 Industrial Dr, Springfield, VA'],</v>
      </c>
    </row>
    <row r="404" spans="1:5" x14ac:dyDescent="0.25">
      <c r="A404" s="16" t="s">
        <v>802</v>
      </c>
      <c r="B404" s="9" t="s">
        <v>405</v>
      </c>
      <c r="C404" s="6" t="s">
        <v>788</v>
      </c>
      <c r="D404" s="10" t="s">
        <v>13</v>
      </c>
      <c r="E404" s="1" t="str">
        <f t="shared" si="6"/>
        <v>[	37.588315	, -77.410564, 'Amazon Delivery Station', '4101 Carolina Avenue, Richmond, VA'],</v>
      </c>
    </row>
    <row r="405" spans="1:5" x14ac:dyDescent="0.25">
      <c r="A405" s="16" t="s">
        <v>802</v>
      </c>
      <c r="B405" s="9" t="s">
        <v>406</v>
      </c>
      <c r="C405" s="6" t="s">
        <v>789</v>
      </c>
      <c r="D405" s="10" t="s">
        <v>13</v>
      </c>
      <c r="E405" s="1" t="str">
        <f t="shared" si="6"/>
        <v>[	36.788268	, -76.265834, 'Amazon Delivery Station', '1920 Campostella Rd, Chesapeake, VA'],</v>
      </c>
    </row>
    <row r="406" spans="1:5" x14ac:dyDescent="0.25">
      <c r="A406" s="16" t="s">
        <v>802</v>
      </c>
      <c r="B406" s="9" t="s">
        <v>407</v>
      </c>
      <c r="C406" s="6" t="s">
        <v>790</v>
      </c>
      <c r="D406" s="10" t="s">
        <v>13</v>
      </c>
      <c r="E406" s="1" t="str">
        <f t="shared" si="6"/>
        <v>[	47.542406	, -122.328102, 'Amazon Delivery Station', '6705 East Marginal Way South, Seattle, WA'],</v>
      </c>
    </row>
    <row r="407" spans="1:5" x14ac:dyDescent="0.25">
      <c r="A407" s="16" t="s">
        <v>802</v>
      </c>
      <c r="B407" s="9" t="s">
        <v>408</v>
      </c>
      <c r="C407" s="6" t="s">
        <v>791</v>
      </c>
      <c r="D407" s="10" t="s">
        <v>13</v>
      </c>
      <c r="E407" s="1" t="str">
        <f t="shared" si="6"/>
        <v>[	47.937333	, -122.245042, 'Amazon Delivery Station', '6611 Associated Blvd, Everett, WA'],</v>
      </c>
    </row>
    <row r="408" spans="1:5" x14ac:dyDescent="0.25">
      <c r="A408" s="16" t="s">
        <v>802</v>
      </c>
      <c r="B408" s="9" t="s">
        <v>409</v>
      </c>
      <c r="C408" s="6" t="s">
        <v>792</v>
      </c>
      <c r="D408" s="10" t="s">
        <v>13</v>
      </c>
      <c r="E408" s="1" t="str">
        <f t="shared" si="6"/>
        <v>[	47.465061	, -122.231067, 'Amazon Delivery Station', '1101 SW 16th St, Renton, WA'],</v>
      </c>
    </row>
    <row r="409" spans="1:5" x14ac:dyDescent="0.25">
      <c r="A409" s="16" t="s">
        <v>802</v>
      </c>
      <c r="B409" s="9" t="s">
        <v>410</v>
      </c>
      <c r="C409" s="6" t="s">
        <v>793</v>
      </c>
      <c r="D409" s="10" t="s">
        <v>13</v>
      </c>
      <c r="E409" s="1" t="str">
        <f t="shared" si="6"/>
        <v>[	43.011828	, -87.963267, 'Amazon Delivery Station', '3935 W. Mitchell St., Milwaukee, WI'],</v>
      </c>
    </row>
    <row r="410" spans="1:5" x14ac:dyDescent="0.25">
      <c r="A410" s="16" t="s">
        <v>802</v>
      </c>
      <c r="B410" s="9" t="s">
        <v>411</v>
      </c>
      <c r="C410" s="6" t="s">
        <v>794</v>
      </c>
      <c r="D410" s="10" t="s">
        <v>13</v>
      </c>
      <c r="E410" s="1" t="str">
        <f t="shared" si="6"/>
        <v>[	43.117002	, -88.238671, 'Amazon Delivery Station', 'N53 W24700 Corporate Circle, Sussex, WI']</v>
      </c>
    </row>
    <row r="411" spans="1:5" x14ac:dyDescent="0.25">
      <c r="D411" s="10"/>
      <c r="E411" s="1" t="str">
        <f t="shared" si="6"/>
        <v/>
      </c>
    </row>
    <row r="412" spans="1:5" x14ac:dyDescent="0.25">
      <c r="D412" s="10"/>
      <c r="E412" s="1" t="str">
        <f t="shared" si="6"/>
        <v/>
      </c>
    </row>
    <row r="413" spans="1:5" x14ac:dyDescent="0.25">
      <c r="D413" s="10"/>
      <c r="E413" s="1" t="str">
        <f t="shared" si="6"/>
        <v/>
      </c>
    </row>
    <row r="414" spans="1:5" x14ac:dyDescent="0.25">
      <c r="D414" s="10"/>
      <c r="E414" s="1" t="str">
        <f t="shared" si="6"/>
        <v/>
      </c>
    </row>
    <row r="415" spans="1:5" x14ac:dyDescent="0.25">
      <c r="D415" s="10"/>
      <c r="E415" s="1" t="str">
        <f t="shared" si="6"/>
        <v/>
      </c>
    </row>
    <row r="416" spans="1:5" x14ac:dyDescent="0.25">
      <c r="D416" s="10"/>
      <c r="E416" s="1" t="str">
        <f t="shared" si="6"/>
        <v/>
      </c>
    </row>
    <row r="417" spans="4:5" x14ac:dyDescent="0.25">
      <c r="D417" s="10"/>
      <c r="E417" s="1" t="str">
        <f t="shared" si="6"/>
        <v/>
      </c>
    </row>
    <row r="418" spans="4:5" x14ac:dyDescent="0.25">
      <c r="D418" s="10"/>
      <c r="E418" s="1" t="str">
        <f t="shared" si="6"/>
        <v/>
      </c>
    </row>
    <row r="419" spans="4:5" x14ac:dyDescent="0.25">
      <c r="D419" s="10"/>
      <c r="E419" s="1" t="str">
        <f t="shared" si="6"/>
        <v/>
      </c>
    </row>
    <row r="420" spans="4:5" x14ac:dyDescent="0.25">
      <c r="D420" s="10"/>
      <c r="E420" s="1" t="str">
        <f t="shared" si="6"/>
        <v/>
      </c>
    </row>
    <row r="421" spans="4:5" x14ac:dyDescent="0.25">
      <c r="D421" s="10"/>
      <c r="E421" s="1" t="str">
        <f t="shared" si="6"/>
        <v/>
      </c>
    </row>
    <row r="422" spans="4:5" x14ac:dyDescent="0.25">
      <c r="D422" s="10"/>
      <c r="E422" s="1" t="str">
        <f t="shared" si="6"/>
        <v/>
      </c>
    </row>
    <row r="423" spans="4:5" x14ac:dyDescent="0.25">
      <c r="D423" s="10"/>
      <c r="E423" s="1" t="str">
        <f t="shared" si="6"/>
        <v/>
      </c>
    </row>
    <row r="424" spans="4:5" x14ac:dyDescent="0.25">
      <c r="D424" s="10"/>
      <c r="E424" s="1" t="str">
        <f t="shared" si="6"/>
        <v/>
      </c>
    </row>
    <row r="425" spans="4:5" x14ac:dyDescent="0.25">
      <c r="D425" s="10"/>
      <c r="E425" s="1" t="str">
        <f t="shared" si="6"/>
        <v/>
      </c>
    </row>
    <row r="426" spans="4:5" x14ac:dyDescent="0.25">
      <c r="D426" s="10"/>
      <c r="E426" s="1" t="str">
        <f t="shared" si="6"/>
        <v/>
      </c>
    </row>
    <row r="427" spans="4:5" x14ac:dyDescent="0.25">
      <c r="D427" s="10"/>
      <c r="E427" s="1" t="str">
        <f t="shared" si="6"/>
        <v/>
      </c>
    </row>
    <row r="428" spans="4:5" x14ac:dyDescent="0.25">
      <c r="D428" s="10"/>
      <c r="E428" s="1" t="str">
        <f t="shared" si="6"/>
        <v/>
      </c>
    </row>
    <row r="429" spans="4:5" x14ac:dyDescent="0.25">
      <c r="D429" s="10"/>
      <c r="E429" s="1" t="str">
        <f t="shared" si="6"/>
        <v/>
      </c>
    </row>
    <row r="430" spans="4:5" x14ac:dyDescent="0.25">
      <c r="D430" s="10"/>
      <c r="E430" s="1" t="str">
        <f t="shared" si="6"/>
        <v/>
      </c>
    </row>
    <row r="431" spans="4:5" x14ac:dyDescent="0.25">
      <c r="D431" s="10"/>
      <c r="E431" s="1" t="str">
        <f t="shared" si="6"/>
        <v/>
      </c>
    </row>
    <row r="432" spans="4:5" x14ac:dyDescent="0.25">
      <c r="D432" s="10"/>
      <c r="E432" s="1" t="str">
        <f t="shared" si="6"/>
        <v/>
      </c>
    </row>
    <row r="433" spans="4:5" x14ac:dyDescent="0.25">
      <c r="D433" s="10"/>
      <c r="E433" s="1" t="str">
        <f t="shared" si="6"/>
        <v/>
      </c>
    </row>
    <row r="434" spans="4:5" x14ac:dyDescent="0.25">
      <c r="D434" s="10"/>
      <c r="E434" s="1" t="str">
        <f t="shared" si="6"/>
        <v/>
      </c>
    </row>
    <row r="435" spans="4:5" x14ac:dyDescent="0.25">
      <c r="D435" s="10"/>
      <c r="E435" s="1" t="str">
        <f t="shared" si="6"/>
        <v/>
      </c>
    </row>
    <row r="436" spans="4:5" x14ac:dyDescent="0.25">
      <c r="D436" s="10"/>
      <c r="E436" s="1" t="str">
        <f t="shared" si="6"/>
        <v/>
      </c>
    </row>
    <row r="437" spans="4:5" x14ac:dyDescent="0.25">
      <c r="D437" s="10"/>
      <c r="E437" s="1" t="str">
        <f t="shared" si="6"/>
        <v/>
      </c>
    </row>
    <row r="438" spans="4:5" x14ac:dyDescent="0.25">
      <c r="D438" s="10"/>
      <c r="E438" s="1" t="str">
        <f t="shared" si="6"/>
        <v/>
      </c>
    </row>
    <row r="439" spans="4:5" x14ac:dyDescent="0.25">
      <c r="D439" s="10"/>
      <c r="E439" s="1" t="str">
        <f t="shared" si="6"/>
        <v/>
      </c>
    </row>
    <row r="440" spans="4:5" x14ac:dyDescent="0.25">
      <c r="D440" s="10"/>
      <c r="E440" s="1" t="str">
        <f t="shared" si="6"/>
        <v/>
      </c>
    </row>
    <row r="441" spans="4:5" x14ac:dyDescent="0.25">
      <c r="D441" s="10"/>
      <c r="E441" s="1" t="str">
        <f t="shared" si="6"/>
        <v/>
      </c>
    </row>
    <row r="442" spans="4:5" x14ac:dyDescent="0.25">
      <c r="D442" s="10"/>
      <c r="E442" s="1" t="str">
        <f t="shared" si="6"/>
        <v/>
      </c>
    </row>
    <row r="443" spans="4:5" x14ac:dyDescent="0.25">
      <c r="D443" s="10"/>
      <c r="E443" s="1" t="str">
        <f t="shared" si="6"/>
        <v/>
      </c>
    </row>
    <row r="444" spans="4:5" x14ac:dyDescent="0.25">
      <c r="D444" s="10"/>
      <c r="E444" s="1" t="str">
        <f t="shared" si="6"/>
        <v/>
      </c>
    </row>
    <row r="445" spans="4:5" x14ac:dyDescent="0.25">
      <c r="D445" s="10"/>
      <c r="E445" s="1" t="str">
        <f t="shared" si="6"/>
        <v/>
      </c>
    </row>
    <row r="446" spans="4:5" x14ac:dyDescent="0.25">
      <c r="D446" s="10"/>
      <c r="E446" s="1" t="str">
        <f t="shared" si="6"/>
        <v/>
      </c>
    </row>
    <row r="447" spans="4:5" x14ac:dyDescent="0.25">
      <c r="D447" s="10"/>
      <c r="E447" s="1" t="str">
        <f t="shared" si="6"/>
        <v/>
      </c>
    </row>
    <row r="448" spans="4:5" x14ac:dyDescent="0.25">
      <c r="D448" s="10"/>
      <c r="E448" s="1" t="str">
        <f t="shared" si="6"/>
        <v/>
      </c>
    </row>
    <row r="449" spans="4:5" x14ac:dyDescent="0.25">
      <c r="D449" s="10"/>
      <c r="E449" s="1" t="str">
        <f t="shared" si="6"/>
        <v/>
      </c>
    </row>
    <row r="450" spans="4:5" x14ac:dyDescent="0.25">
      <c r="D450" s="10"/>
      <c r="E450" s="1" t="str">
        <f t="shared" si="6"/>
        <v/>
      </c>
    </row>
    <row r="451" spans="4:5" x14ac:dyDescent="0.25">
      <c r="D451" s="10"/>
      <c r="E451" s="1" t="str">
        <f t="shared" ref="E451:E514" si="7">IF(ISBLANK($C451), "", "[" &amp; C451 &amp; ", '" &amp; A451 &amp; "', '" &amp; B451 &amp; "']" &amp; IF(E452 = "", "", ","))</f>
        <v/>
      </c>
    </row>
    <row r="452" spans="4:5" x14ac:dyDescent="0.25">
      <c r="D452" s="10"/>
      <c r="E452" s="1" t="str">
        <f t="shared" si="7"/>
        <v/>
      </c>
    </row>
    <row r="453" spans="4:5" x14ac:dyDescent="0.25">
      <c r="D453" s="10"/>
      <c r="E453" s="1" t="str">
        <f t="shared" si="7"/>
        <v/>
      </c>
    </row>
    <row r="454" spans="4:5" x14ac:dyDescent="0.25">
      <c r="D454" s="10"/>
      <c r="E454" s="1" t="str">
        <f t="shared" si="7"/>
        <v/>
      </c>
    </row>
    <row r="455" spans="4:5" x14ac:dyDescent="0.25">
      <c r="D455" s="10"/>
      <c r="E455" s="1" t="str">
        <f t="shared" si="7"/>
        <v/>
      </c>
    </row>
    <row r="456" spans="4:5" x14ac:dyDescent="0.25">
      <c r="D456" s="10"/>
      <c r="E456" s="1" t="str">
        <f t="shared" si="7"/>
        <v/>
      </c>
    </row>
    <row r="457" spans="4:5" x14ac:dyDescent="0.25">
      <c r="D457" s="10"/>
      <c r="E457" s="1" t="str">
        <f t="shared" si="7"/>
        <v/>
      </c>
    </row>
    <row r="458" spans="4:5" x14ac:dyDescent="0.25">
      <c r="D458" s="10"/>
      <c r="E458" s="1" t="str">
        <f t="shared" si="7"/>
        <v/>
      </c>
    </row>
    <row r="459" spans="4:5" x14ac:dyDescent="0.25">
      <c r="D459" s="10"/>
      <c r="E459" s="1" t="str">
        <f t="shared" si="7"/>
        <v/>
      </c>
    </row>
    <row r="460" spans="4:5" x14ac:dyDescent="0.25">
      <c r="D460" s="10"/>
      <c r="E460" s="1" t="str">
        <f t="shared" si="7"/>
        <v/>
      </c>
    </row>
    <row r="461" spans="4:5" x14ac:dyDescent="0.25">
      <c r="D461" s="10"/>
      <c r="E461" s="1" t="str">
        <f t="shared" si="7"/>
        <v/>
      </c>
    </row>
    <row r="462" spans="4:5" x14ac:dyDescent="0.25">
      <c r="D462" s="10"/>
      <c r="E462" s="1" t="str">
        <f t="shared" si="7"/>
        <v/>
      </c>
    </row>
    <row r="463" spans="4:5" x14ac:dyDescent="0.25">
      <c r="D463" s="10"/>
      <c r="E463" s="1" t="str">
        <f t="shared" si="7"/>
        <v/>
      </c>
    </row>
    <row r="464" spans="4:5" x14ac:dyDescent="0.25">
      <c r="D464" s="10"/>
      <c r="E464" s="1" t="str">
        <f t="shared" si="7"/>
        <v/>
      </c>
    </row>
    <row r="465" spans="4:5" x14ac:dyDescent="0.25">
      <c r="D465" s="10"/>
      <c r="E465" s="1" t="str">
        <f t="shared" si="7"/>
        <v/>
      </c>
    </row>
    <row r="466" spans="4:5" x14ac:dyDescent="0.25">
      <c r="D466" s="10"/>
      <c r="E466" s="1" t="str">
        <f t="shared" si="7"/>
        <v/>
      </c>
    </row>
    <row r="467" spans="4:5" x14ac:dyDescent="0.25">
      <c r="D467" s="10"/>
      <c r="E467" s="1" t="str">
        <f t="shared" si="7"/>
        <v/>
      </c>
    </row>
    <row r="468" spans="4:5" x14ac:dyDescent="0.25">
      <c r="D468" s="10"/>
      <c r="E468" s="1" t="str">
        <f t="shared" si="7"/>
        <v/>
      </c>
    </row>
    <row r="469" spans="4:5" x14ac:dyDescent="0.25">
      <c r="D469" s="10"/>
      <c r="E469" s="1" t="str">
        <f t="shared" si="7"/>
        <v/>
      </c>
    </row>
    <row r="470" spans="4:5" x14ac:dyDescent="0.25">
      <c r="D470" s="10"/>
      <c r="E470" s="1" t="str">
        <f t="shared" si="7"/>
        <v/>
      </c>
    </row>
    <row r="471" spans="4:5" x14ac:dyDescent="0.25">
      <c r="D471" s="10"/>
      <c r="E471" s="1" t="str">
        <f t="shared" si="7"/>
        <v/>
      </c>
    </row>
    <row r="472" spans="4:5" x14ac:dyDescent="0.25">
      <c r="D472" s="10"/>
      <c r="E472" s="1" t="str">
        <f t="shared" si="7"/>
        <v/>
      </c>
    </row>
    <row r="473" spans="4:5" x14ac:dyDescent="0.25">
      <c r="D473" s="10"/>
      <c r="E473" s="1" t="str">
        <f t="shared" si="7"/>
        <v/>
      </c>
    </row>
    <row r="474" spans="4:5" x14ac:dyDescent="0.25">
      <c r="D474" s="10"/>
      <c r="E474" s="1" t="str">
        <f t="shared" si="7"/>
        <v/>
      </c>
    </row>
    <row r="475" spans="4:5" x14ac:dyDescent="0.25">
      <c r="D475" s="10"/>
      <c r="E475" s="1" t="str">
        <f t="shared" si="7"/>
        <v/>
      </c>
    </row>
    <row r="476" spans="4:5" x14ac:dyDescent="0.25">
      <c r="D476" s="10"/>
      <c r="E476" s="1" t="str">
        <f t="shared" si="7"/>
        <v/>
      </c>
    </row>
    <row r="477" spans="4:5" x14ac:dyDescent="0.25">
      <c r="D477" s="10"/>
      <c r="E477" s="1" t="str">
        <f t="shared" si="7"/>
        <v/>
      </c>
    </row>
    <row r="478" spans="4:5" x14ac:dyDescent="0.25">
      <c r="D478" s="10"/>
      <c r="E478" s="1" t="str">
        <f t="shared" si="7"/>
        <v/>
      </c>
    </row>
    <row r="479" spans="4:5" x14ac:dyDescent="0.25">
      <c r="D479" s="10"/>
      <c r="E479" s="1" t="str">
        <f t="shared" si="7"/>
        <v/>
      </c>
    </row>
    <row r="480" spans="4:5" x14ac:dyDescent="0.25">
      <c r="D480" s="10"/>
      <c r="E480" s="1" t="str">
        <f t="shared" si="7"/>
        <v/>
      </c>
    </row>
    <row r="481" spans="4:5" x14ac:dyDescent="0.25">
      <c r="D481" s="10"/>
      <c r="E481" s="1" t="str">
        <f t="shared" si="7"/>
        <v/>
      </c>
    </row>
    <row r="482" spans="4:5" x14ac:dyDescent="0.25">
      <c r="D482" s="10"/>
      <c r="E482" s="1" t="str">
        <f t="shared" si="7"/>
        <v/>
      </c>
    </row>
    <row r="483" spans="4:5" x14ac:dyDescent="0.25">
      <c r="D483" s="10"/>
      <c r="E483" s="1" t="str">
        <f t="shared" si="7"/>
        <v/>
      </c>
    </row>
    <row r="484" spans="4:5" x14ac:dyDescent="0.25">
      <c r="D484" s="10"/>
      <c r="E484" s="1" t="str">
        <f t="shared" si="7"/>
        <v/>
      </c>
    </row>
    <row r="485" spans="4:5" x14ac:dyDescent="0.25">
      <c r="D485" s="10"/>
      <c r="E485" s="1" t="str">
        <f t="shared" si="7"/>
        <v/>
      </c>
    </row>
    <row r="486" spans="4:5" x14ac:dyDescent="0.25">
      <c r="D486" s="10"/>
      <c r="E486" s="1" t="str">
        <f t="shared" si="7"/>
        <v/>
      </c>
    </row>
    <row r="487" spans="4:5" x14ac:dyDescent="0.25">
      <c r="D487" s="10"/>
      <c r="E487" s="1" t="str">
        <f t="shared" si="7"/>
        <v/>
      </c>
    </row>
    <row r="488" spans="4:5" x14ac:dyDescent="0.25">
      <c r="D488" s="10"/>
      <c r="E488" s="1" t="str">
        <f t="shared" si="7"/>
        <v/>
      </c>
    </row>
    <row r="489" spans="4:5" x14ac:dyDescent="0.25">
      <c r="D489" s="10"/>
      <c r="E489" s="1" t="str">
        <f t="shared" si="7"/>
        <v/>
      </c>
    </row>
    <row r="490" spans="4:5" x14ac:dyDescent="0.25">
      <c r="D490" s="10"/>
      <c r="E490" s="1" t="str">
        <f t="shared" si="7"/>
        <v/>
      </c>
    </row>
    <row r="491" spans="4:5" x14ac:dyDescent="0.25">
      <c r="D491" s="10"/>
      <c r="E491" s="1" t="str">
        <f t="shared" si="7"/>
        <v/>
      </c>
    </row>
    <row r="492" spans="4:5" x14ac:dyDescent="0.25">
      <c r="D492" s="10"/>
      <c r="E492" s="1" t="str">
        <f t="shared" si="7"/>
        <v/>
      </c>
    </row>
    <row r="493" spans="4:5" x14ac:dyDescent="0.25">
      <c r="D493" s="10"/>
      <c r="E493" s="1" t="str">
        <f t="shared" si="7"/>
        <v/>
      </c>
    </row>
    <row r="494" spans="4:5" x14ac:dyDescent="0.25">
      <c r="D494" s="10"/>
      <c r="E494" s="1" t="str">
        <f t="shared" si="7"/>
        <v/>
      </c>
    </row>
    <row r="495" spans="4:5" x14ac:dyDescent="0.25">
      <c r="D495" s="10"/>
      <c r="E495" s="1" t="str">
        <f t="shared" si="7"/>
        <v/>
      </c>
    </row>
    <row r="496" spans="4:5" x14ac:dyDescent="0.25">
      <c r="D496" s="10"/>
      <c r="E496" s="1" t="str">
        <f t="shared" si="7"/>
        <v/>
      </c>
    </row>
    <row r="497" spans="4:5" x14ac:dyDescent="0.25">
      <c r="D497" s="10"/>
      <c r="E497" s="1" t="str">
        <f t="shared" si="7"/>
        <v/>
      </c>
    </row>
    <row r="498" spans="4:5" x14ac:dyDescent="0.25">
      <c r="D498" s="10"/>
      <c r="E498" s="1" t="str">
        <f t="shared" si="7"/>
        <v/>
      </c>
    </row>
    <row r="499" spans="4:5" x14ac:dyDescent="0.25">
      <c r="D499" s="10"/>
      <c r="E499" s="1" t="str">
        <f t="shared" si="7"/>
        <v/>
      </c>
    </row>
    <row r="500" spans="4:5" x14ac:dyDescent="0.25">
      <c r="D500" s="10"/>
      <c r="E500" s="1" t="str">
        <f t="shared" si="7"/>
        <v/>
      </c>
    </row>
    <row r="501" spans="4:5" x14ac:dyDescent="0.25">
      <c r="D501" s="10"/>
      <c r="E501" s="1" t="str">
        <f t="shared" si="7"/>
        <v/>
      </c>
    </row>
    <row r="502" spans="4:5" x14ac:dyDescent="0.25">
      <c r="D502" s="10"/>
      <c r="E502" s="1" t="str">
        <f t="shared" si="7"/>
        <v/>
      </c>
    </row>
    <row r="503" spans="4:5" x14ac:dyDescent="0.25">
      <c r="D503" s="10"/>
      <c r="E503" s="1" t="str">
        <f t="shared" si="7"/>
        <v/>
      </c>
    </row>
    <row r="504" spans="4:5" x14ac:dyDescent="0.25">
      <c r="D504" s="10"/>
      <c r="E504" s="1" t="str">
        <f t="shared" si="7"/>
        <v/>
      </c>
    </row>
    <row r="505" spans="4:5" x14ac:dyDescent="0.25">
      <c r="D505" s="10"/>
      <c r="E505" s="1" t="str">
        <f t="shared" si="7"/>
        <v/>
      </c>
    </row>
    <row r="506" spans="4:5" x14ac:dyDescent="0.25">
      <c r="D506" s="10"/>
      <c r="E506" s="1" t="str">
        <f t="shared" si="7"/>
        <v/>
      </c>
    </row>
    <row r="507" spans="4:5" x14ac:dyDescent="0.25">
      <c r="D507" s="10"/>
      <c r="E507" s="1" t="str">
        <f t="shared" si="7"/>
        <v/>
      </c>
    </row>
    <row r="508" spans="4:5" x14ac:dyDescent="0.25">
      <c r="D508" s="10"/>
      <c r="E508" s="1" t="str">
        <f t="shared" si="7"/>
        <v/>
      </c>
    </row>
    <row r="509" spans="4:5" x14ac:dyDescent="0.25">
      <c r="D509" s="10"/>
      <c r="E509" s="1" t="str">
        <f t="shared" si="7"/>
        <v/>
      </c>
    </row>
    <row r="510" spans="4:5" x14ac:dyDescent="0.25">
      <c r="D510" s="10"/>
      <c r="E510" s="1" t="str">
        <f t="shared" si="7"/>
        <v/>
      </c>
    </row>
    <row r="511" spans="4:5" x14ac:dyDescent="0.25">
      <c r="D511" s="10"/>
      <c r="E511" s="1" t="str">
        <f t="shared" si="7"/>
        <v/>
      </c>
    </row>
    <row r="512" spans="4:5" x14ac:dyDescent="0.25">
      <c r="D512" s="10"/>
      <c r="E512" s="1" t="str">
        <f t="shared" si="7"/>
        <v/>
      </c>
    </row>
    <row r="513" spans="4:5" x14ac:dyDescent="0.25">
      <c r="D513" s="10"/>
      <c r="E513" s="1" t="str">
        <f t="shared" si="7"/>
        <v/>
      </c>
    </row>
    <row r="514" spans="4:5" x14ac:dyDescent="0.25">
      <c r="D514" s="10"/>
      <c r="E514" s="1" t="str">
        <f t="shared" si="7"/>
        <v/>
      </c>
    </row>
    <row r="515" spans="4:5" x14ac:dyDescent="0.25">
      <c r="D515" s="10"/>
      <c r="E515" s="1" t="str">
        <f t="shared" ref="E515:E578" si="8">IF(ISBLANK($C515), "", "[" &amp; C515 &amp; ", '" &amp; A515 &amp; "', '" &amp; B515 &amp; "']" &amp; IF(E516 = "", "", ","))</f>
        <v/>
      </c>
    </row>
    <row r="516" spans="4:5" x14ac:dyDescent="0.25">
      <c r="D516" s="10"/>
      <c r="E516" s="1" t="str">
        <f t="shared" si="8"/>
        <v/>
      </c>
    </row>
    <row r="517" spans="4:5" x14ac:dyDescent="0.25">
      <c r="D517" s="10"/>
      <c r="E517" s="1" t="str">
        <f t="shared" si="8"/>
        <v/>
      </c>
    </row>
    <row r="518" spans="4:5" x14ac:dyDescent="0.25">
      <c r="D518" s="10"/>
      <c r="E518" s="1" t="str">
        <f t="shared" si="8"/>
        <v/>
      </c>
    </row>
    <row r="519" spans="4:5" x14ac:dyDescent="0.25">
      <c r="D519" s="10"/>
      <c r="E519" s="1" t="str">
        <f t="shared" si="8"/>
        <v/>
      </c>
    </row>
    <row r="520" spans="4:5" x14ac:dyDescent="0.25">
      <c r="D520" s="10"/>
      <c r="E520" s="1" t="str">
        <f t="shared" si="8"/>
        <v/>
      </c>
    </row>
    <row r="521" spans="4:5" x14ac:dyDescent="0.25">
      <c r="D521" s="10"/>
      <c r="E521" s="1" t="str">
        <f t="shared" si="8"/>
        <v/>
      </c>
    </row>
    <row r="522" spans="4:5" x14ac:dyDescent="0.25">
      <c r="D522" s="10"/>
      <c r="E522" s="1" t="str">
        <f t="shared" si="8"/>
        <v/>
      </c>
    </row>
    <row r="523" spans="4:5" x14ac:dyDescent="0.25">
      <c r="D523" s="10"/>
      <c r="E523" s="1" t="str">
        <f t="shared" si="8"/>
        <v/>
      </c>
    </row>
    <row r="524" spans="4:5" x14ac:dyDescent="0.25">
      <c r="D524" s="10"/>
      <c r="E524" s="1" t="str">
        <f t="shared" si="8"/>
        <v/>
      </c>
    </row>
    <row r="525" spans="4:5" x14ac:dyDescent="0.25">
      <c r="D525" s="10"/>
      <c r="E525" s="1" t="str">
        <f t="shared" si="8"/>
        <v/>
      </c>
    </row>
    <row r="526" spans="4:5" x14ac:dyDescent="0.25">
      <c r="D526" s="10"/>
      <c r="E526" s="1" t="str">
        <f t="shared" si="8"/>
        <v/>
      </c>
    </row>
    <row r="527" spans="4:5" x14ac:dyDescent="0.25">
      <c r="D527" s="10"/>
      <c r="E527" s="1" t="str">
        <f t="shared" si="8"/>
        <v/>
      </c>
    </row>
    <row r="528" spans="4:5" x14ac:dyDescent="0.25">
      <c r="D528" s="10"/>
      <c r="E528" s="1" t="str">
        <f t="shared" si="8"/>
        <v/>
      </c>
    </row>
    <row r="529" spans="4:5" x14ac:dyDescent="0.25">
      <c r="D529" s="10"/>
      <c r="E529" s="1" t="str">
        <f t="shared" si="8"/>
        <v/>
      </c>
    </row>
    <row r="530" spans="4:5" x14ac:dyDescent="0.25">
      <c r="D530" s="10"/>
      <c r="E530" s="1" t="str">
        <f t="shared" si="8"/>
        <v/>
      </c>
    </row>
    <row r="531" spans="4:5" x14ac:dyDescent="0.25">
      <c r="D531" s="10"/>
      <c r="E531" s="1" t="str">
        <f t="shared" si="8"/>
        <v/>
      </c>
    </row>
    <row r="532" spans="4:5" x14ac:dyDescent="0.25">
      <c r="D532" s="10"/>
      <c r="E532" s="1" t="str">
        <f t="shared" si="8"/>
        <v/>
      </c>
    </row>
    <row r="533" spans="4:5" x14ac:dyDescent="0.25">
      <c r="D533" s="10"/>
      <c r="E533" s="1" t="str">
        <f t="shared" si="8"/>
        <v/>
      </c>
    </row>
    <row r="534" spans="4:5" x14ac:dyDescent="0.25">
      <c r="D534" s="10"/>
      <c r="E534" s="1" t="str">
        <f t="shared" si="8"/>
        <v/>
      </c>
    </row>
    <row r="535" spans="4:5" x14ac:dyDescent="0.25">
      <c r="D535" s="10"/>
      <c r="E535" s="1" t="str">
        <f t="shared" si="8"/>
        <v/>
      </c>
    </row>
    <row r="536" spans="4:5" x14ac:dyDescent="0.25">
      <c r="D536" s="10"/>
      <c r="E536" s="1" t="str">
        <f t="shared" si="8"/>
        <v/>
      </c>
    </row>
    <row r="537" spans="4:5" x14ac:dyDescent="0.25">
      <c r="D537" s="10"/>
      <c r="E537" s="1" t="str">
        <f t="shared" si="8"/>
        <v/>
      </c>
    </row>
    <row r="538" spans="4:5" x14ac:dyDescent="0.25">
      <c r="D538" s="10"/>
      <c r="E538" s="1" t="str">
        <f t="shared" si="8"/>
        <v/>
      </c>
    </row>
    <row r="539" spans="4:5" x14ac:dyDescent="0.25">
      <c r="D539" s="10"/>
      <c r="E539" s="1" t="str">
        <f t="shared" si="8"/>
        <v/>
      </c>
    </row>
    <row r="540" spans="4:5" x14ac:dyDescent="0.25">
      <c r="D540" s="10"/>
      <c r="E540" s="1" t="str">
        <f t="shared" si="8"/>
        <v/>
      </c>
    </row>
    <row r="541" spans="4:5" x14ac:dyDescent="0.25">
      <c r="D541" s="10"/>
      <c r="E541" s="1" t="str">
        <f t="shared" si="8"/>
        <v/>
      </c>
    </row>
    <row r="542" spans="4:5" x14ac:dyDescent="0.25">
      <c r="D542" s="10"/>
      <c r="E542" s="1" t="str">
        <f t="shared" si="8"/>
        <v/>
      </c>
    </row>
    <row r="543" spans="4:5" x14ac:dyDescent="0.25">
      <c r="D543" s="10"/>
      <c r="E543" s="1" t="str">
        <f t="shared" si="8"/>
        <v/>
      </c>
    </row>
    <row r="544" spans="4:5" x14ac:dyDescent="0.25">
      <c r="D544" s="10"/>
      <c r="E544" s="1" t="str">
        <f t="shared" si="8"/>
        <v/>
      </c>
    </row>
    <row r="545" spans="4:5" x14ac:dyDescent="0.25">
      <c r="D545" s="10"/>
      <c r="E545" s="1" t="str">
        <f t="shared" si="8"/>
        <v/>
      </c>
    </row>
    <row r="546" spans="4:5" x14ac:dyDescent="0.25">
      <c r="D546" s="10"/>
      <c r="E546" s="1" t="str">
        <f t="shared" si="8"/>
        <v/>
      </c>
    </row>
    <row r="547" spans="4:5" x14ac:dyDescent="0.25">
      <c r="D547" s="10"/>
      <c r="E547" s="1" t="str">
        <f t="shared" si="8"/>
        <v/>
      </c>
    </row>
    <row r="548" spans="4:5" x14ac:dyDescent="0.25">
      <c r="D548" s="10"/>
      <c r="E548" s="1" t="str">
        <f t="shared" si="8"/>
        <v/>
      </c>
    </row>
    <row r="549" spans="4:5" x14ac:dyDescent="0.25">
      <c r="D549" s="10"/>
      <c r="E549" s="1" t="str">
        <f t="shared" si="8"/>
        <v/>
      </c>
    </row>
    <row r="550" spans="4:5" x14ac:dyDescent="0.25">
      <c r="D550" s="10"/>
      <c r="E550" s="1" t="str">
        <f t="shared" si="8"/>
        <v/>
      </c>
    </row>
    <row r="551" spans="4:5" x14ac:dyDescent="0.25">
      <c r="D551" s="10"/>
      <c r="E551" s="1" t="str">
        <f t="shared" si="8"/>
        <v/>
      </c>
    </row>
    <row r="552" spans="4:5" x14ac:dyDescent="0.25">
      <c r="D552" s="10"/>
      <c r="E552" s="1" t="str">
        <f t="shared" si="8"/>
        <v/>
      </c>
    </row>
    <row r="553" spans="4:5" x14ac:dyDescent="0.25">
      <c r="D553" s="10"/>
      <c r="E553" s="1" t="str">
        <f t="shared" si="8"/>
        <v/>
      </c>
    </row>
    <row r="554" spans="4:5" x14ac:dyDescent="0.25">
      <c r="D554" s="10"/>
      <c r="E554" s="1" t="str">
        <f t="shared" si="8"/>
        <v/>
      </c>
    </row>
    <row r="555" spans="4:5" x14ac:dyDescent="0.25">
      <c r="D555" s="10"/>
      <c r="E555" s="1" t="str">
        <f t="shared" si="8"/>
        <v/>
      </c>
    </row>
    <row r="556" spans="4:5" x14ac:dyDescent="0.25">
      <c r="D556" s="10"/>
      <c r="E556" s="1" t="str">
        <f t="shared" si="8"/>
        <v/>
      </c>
    </row>
    <row r="557" spans="4:5" x14ac:dyDescent="0.25">
      <c r="D557" s="10"/>
      <c r="E557" s="1" t="str">
        <f t="shared" si="8"/>
        <v/>
      </c>
    </row>
    <row r="558" spans="4:5" x14ac:dyDescent="0.25">
      <c r="D558" s="10"/>
      <c r="E558" s="1" t="str">
        <f t="shared" si="8"/>
        <v/>
      </c>
    </row>
    <row r="559" spans="4:5" x14ac:dyDescent="0.25">
      <c r="D559" s="10"/>
      <c r="E559" s="1" t="str">
        <f t="shared" si="8"/>
        <v/>
      </c>
    </row>
    <row r="560" spans="4:5" x14ac:dyDescent="0.25">
      <c r="D560" s="10"/>
      <c r="E560" s="1" t="str">
        <f t="shared" si="8"/>
        <v/>
      </c>
    </row>
    <row r="561" spans="4:5" x14ac:dyDescent="0.25">
      <c r="D561" s="10"/>
      <c r="E561" s="1" t="str">
        <f t="shared" si="8"/>
        <v/>
      </c>
    </row>
    <row r="562" spans="4:5" x14ac:dyDescent="0.25">
      <c r="D562" s="10"/>
      <c r="E562" s="1" t="str">
        <f t="shared" si="8"/>
        <v/>
      </c>
    </row>
    <row r="563" spans="4:5" x14ac:dyDescent="0.25">
      <c r="D563" s="10"/>
      <c r="E563" s="1" t="str">
        <f t="shared" si="8"/>
        <v/>
      </c>
    </row>
    <row r="564" spans="4:5" x14ac:dyDescent="0.25">
      <c r="D564" s="10"/>
      <c r="E564" s="1" t="str">
        <f t="shared" si="8"/>
        <v/>
      </c>
    </row>
    <row r="565" spans="4:5" x14ac:dyDescent="0.25">
      <c r="D565" s="10"/>
      <c r="E565" s="1" t="str">
        <f t="shared" si="8"/>
        <v/>
      </c>
    </row>
    <row r="566" spans="4:5" x14ac:dyDescent="0.25">
      <c r="D566" s="10"/>
      <c r="E566" s="1" t="str">
        <f t="shared" si="8"/>
        <v/>
      </c>
    </row>
    <row r="567" spans="4:5" x14ac:dyDescent="0.25">
      <c r="D567" s="10"/>
      <c r="E567" s="1" t="str">
        <f t="shared" si="8"/>
        <v/>
      </c>
    </row>
    <row r="568" spans="4:5" x14ac:dyDescent="0.25">
      <c r="D568" s="10"/>
      <c r="E568" s="1" t="str">
        <f t="shared" si="8"/>
        <v/>
      </c>
    </row>
    <row r="569" spans="4:5" x14ac:dyDescent="0.25">
      <c r="D569" s="10"/>
      <c r="E569" s="1" t="str">
        <f t="shared" si="8"/>
        <v/>
      </c>
    </row>
    <row r="570" spans="4:5" x14ac:dyDescent="0.25">
      <c r="D570" s="10"/>
      <c r="E570" s="1" t="str">
        <f t="shared" si="8"/>
        <v/>
      </c>
    </row>
    <row r="571" spans="4:5" x14ac:dyDescent="0.25">
      <c r="D571" s="10"/>
      <c r="E571" s="1" t="str">
        <f t="shared" si="8"/>
        <v/>
      </c>
    </row>
    <row r="572" spans="4:5" x14ac:dyDescent="0.25">
      <c r="D572" s="10"/>
      <c r="E572" s="1" t="str">
        <f t="shared" si="8"/>
        <v/>
      </c>
    </row>
    <row r="573" spans="4:5" x14ac:dyDescent="0.25">
      <c r="D573" s="10"/>
      <c r="E573" s="1" t="str">
        <f t="shared" si="8"/>
        <v/>
      </c>
    </row>
    <row r="574" spans="4:5" x14ac:dyDescent="0.25">
      <c r="D574" s="10"/>
      <c r="E574" s="1" t="str">
        <f t="shared" si="8"/>
        <v/>
      </c>
    </row>
    <row r="575" spans="4:5" x14ac:dyDescent="0.25">
      <c r="D575" s="10"/>
      <c r="E575" s="1" t="str">
        <f t="shared" si="8"/>
        <v/>
      </c>
    </row>
    <row r="576" spans="4:5" x14ac:dyDescent="0.25">
      <c r="D576" s="10"/>
      <c r="E576" s="1" t="str">
        <f t="shared" si="8"/>
        <v/>
      </c>
    </row>
    <row r="577" spans="4:5" x14ac:dyDescent="0.25">
      <c r="D577" s="10"/>
      <c r="E577" s="1" t="str">
        <f t="shared" si="8"/>
        <v/>
      </c>
    </row>
    <row r="578" spans="4:5" x14ac:dyDescent="0.25">
      <c r="D578" s="10"/>
      <c r="E578" s="1" t="str">
        <f t="shared" si="8"/>
        <v/>
      </c>
    </row>
    <row r="579" spans="4:5" x14ac:dyDescent="0.25">
      <c r="D579" s="10"/>
      <c r="E579" s="1" t="str">
        <f t="shared" ref="E579:E642" si="9">IF(ISBLANK($C579), "", "[" &amp; C579 &amp; ", '" &amp; A579 &amp; "', '" &amp; B579 &amp; "']" &amp; IF(E580 = "", "", ","))</f>
        <v/>
      </c>
    </row>
    <row r="580" spans="4:5" x14ac:dyDescent="0.25">
      <c r="D580" s="10"/>
      <c r="E580" s="1" t="str">
        <f t="shared" si="9"/>
        <v/>
      </c>
    </row>
    <row r="581" spans="4:5" x14ac:dyDescent="0.25">
      <c r="D581" s="10"/>
      <c r="E581" s="1" t="str">
        <f t="shared" si="9"/>
        <v/>
      </c>
    </row>
    <row r="582" spans="4:5" x14ac:dyDescent="0.25">
      <c r="D582" s="10"/>
      <c r="E582" s="1" t="str">
        <f t="shared" si="9"/>
        <v/>
      </c>
    </row>
    <row r="583" spans="4:5" x14ac:dyDescent="0.25">
      <c r="D583" s="10"/>
      <c r="E583" s="1" t="str">
        <f t="shared" si="9"/>
        <v/>
      </c>
    </row>
    <row r="584" spans="4:5" x14ac:dyDescent="0.25">
      <c r="D584" s="10"/>
      <c r="E584" s="1" t="str">
        <f t="shared" si="9"/>
        <v/>
      </c>
    </row>
    <row r="585" spans="4:5" x14ac:dyDescent="0.25">
      <c r="D585" s="10"/>
      <c r="E585" s="1" t="str">
        <f t="shared" si="9"/>
        <v/>
      </c>
    </row>
    <row r="586" spans="4:5" x14ac:dyDescent="0.25">
      <c r="D586" s="10"/>
      <c r="E586" s="1" t="str">
        <f t="shared" si="9"/>
        <v/>
      </c>
    </row>
    <row r="587" spans="4:5" x14ac:dyDescent="0.25">
      <c r="D587" s="10"/>
      <c r="E587" s="1" t="str">
        <f t="shared" si="9"/>
        <v/>
      </c>
    </row>
    <row r="588" spans="4:5" x14ac:dyDescent="0.25">
      <c r="D588" s="10"/>
      <c r="E588" s="1" t="str">
        <f t="shared" si="9"/>
        <v/>
      </c>
    </row>
    <row r="589" spans="4:5" x14ac:dyDescent="0.25">
      <c r="D589" s="10"/>
      <c r="E589" s="1" t="str">
        <f t="shared" si="9"/>
        <v/>
      </c>
    </row>
    <row r="590" spans="4:5" x14ac:dyDescent="0.25">
      <c r="D590" s="10"/>
      <c r="E590" s="1" t="str">
        <f t="shared" si="9"/>
        <v/>
      </c>
    </row>
    <row r="591" spans="4:5" x14ac:dyDescent="0.25">
      <c r="D591" s="10"/>
      <c r="E591" s="1" t="str">
        <f t="shared" si="9"/>
        <v/>
      </c>
    </row>
    <row r="592" spans="4:5" x14ac:dyDescent="0.25">
      <c r="D592" s="10"/>
      <c r="E592" s="1" t="str">
        <f t="shared" si="9"/>
        <v/>
      </c>
    </row>
    <row r="593" spans="4:5" x14ac:dyDescent="0.25">
      <c r="D593" s="10"/>
      <c r="E593" s="1" t="str">
        <f t="shared" si="9"/>
        <v/>
      </c>
    </row>
    <row r="594" spans="4:5" x14ac:dyDescent="0.25">
      <c r="D594" s="10"/>
      <c r="E594" s="1" t="str">
        <f t="shared" si="9"/>
        <v/>
      </c>
    </row>
    <row r="595" spans="4:5" x14ac:dyDescent="0.25">
      <c r="D595" s="10"/>
      <c r="E595" s="1" t="str">
        <f t="shared" si="9"/>
        <v/>
      </c>
    </row>
    <row r="596" spans="4:5" x14ac:dyDescent="0.25">
      <c r="D596" s="10"/>
      <c r="E596" s="1" t="str">
        <f t="shared" si="9"/>
        <v/>
      </c>
    </row>
    <row r="597" spans="4:5" x14ac:dyDescent="0.25">
      <c r="D597" s="10"/>
      <c r="E597" s="1" t="str">
        <f t="shared" si="9"/>
        <v/>
      </c>
    </row>
    <row r="598" spans="4:5" x14ac:dyDescent="0.25">
      <c r="D598" s="10"/>
      <c r="E598" s="1" t="str">
        <f t="shared" si="9"/>
        <v/>
      </c>
    </row>
    <row r="599" spans="4:5" x14ac:dyDescent="0.25">
      <c r="D599" s="10"/>
      <c r="E599" s="1" t="str">
        <f t="shared" si="9"/>
        <v/>
      </c>
    </row>
    <row r="600" spans="4:5" x14ac:dyDescent="0.25">
      <c r="D600" s="10"/>
      <c r="E600" s="1" t="str">
        <f t="shared" si="9"/>
        <v/>
      </c>
    </row>
    <row r="601" spans="4:5" x14ac:dyDescent="0.25">
      <c r="D601" s="10"/>
      <c r="E601" s="1" t="str">
        <f t="shared" si="9"/>
        <v/>
      </c>
    </row>
    <row r="602" spans="4:5" x14ac:dyDescent="0.25">
      <c r="D602" s="10"/>
      <c r="E602" s="1" t="str">
        <f t="shared" si="9"/>
        <v/>
      </c>
    </row>
    <row r="603" spans="4:5" x14ac:dyDescent="0.25">
      <c r="D603" s="10"/>
      <c r="E603" s="1" t="str">
        <f t="shared" si="9"/>
        <v/>
      </c>
    </row>
    <row r="604" spans="4:5" x14ac:dyDescent="0.25">
      <c r="D604" s="10"/>
      <c r="E604" s="1" t="str">
        <f t="shared" si="9"/>
        <v/>
      </c>
    </row>
    <row r="605" spans="4:5" x14ac:dyDescent="0.25">
      <c r="D605" s="10"/>
      <c r="E605" s="1" t="str">
        <f t="shared" si="9"/>
        <v/>
      </c>
    </row>
    <row r="606" spans="4:5" x14ac:dyDescent="0.25">
      <c r="D606" s="10"/>
      <c r="E606" s="1" t="str">
        <f t="shared" si="9"/>
        <v/>
      </c>
    </row>
    <row r="607" spans="4:5" x14ac:dyDescent="0.25">
      <c r="D607" s="10"/>
      <c r="E607" s="1" t="str">
        <f t="shared" si="9"/>
        <v/>
      </c>
    </row>
    <row r="608" spans="4:5" x14ac:dyDescent="0.25">
      <c r="D608" s="10"/>
      <c r="E608" s="1" t="str">
        <f t="shared" si="9"/>
        <v/>
      </c>
    </row>
    <row r="609" spans="4:5" x14ac:dyDescent="0.25">
      <c r="D609" s="10"/>
      <c r="E609" s="1" t="str">
        <f t="shared" si="9"/>
        <v/>
      </c>
    </row>
    <row r="610" spans="4:5" x14ac:dyDescent="0.25">
      <c r="D610" s="10"/>
      <c r="E610" s="1" t="str">
        <f t="shared" si="9"/>
        <v/>
      </c>
    </row>
    <row r="611" spans="4:5" x14ac:dyDescent="0.25">
      <c r="D611" s="10"/>
      <c r="E611" s="1" t="str">
        <f t="shared" si="9"/>
        <v/>
      </c>
    </row>
    <row r="612" spans="4:5" x14ac:dyDescent="0.25">
      <c r="D612" s="10"/>
      <c r="E612" s="1" t="str">
        <f t="shared" si="9"/>
        <v/>
      </c>
    </row>
    <row r="613" spans="4:5" x14ac:dyDescent="0.25">
      <c r="D613" s="10"/>
      <c r="E613" s="1" t="str">
        <f t="shared" si="9"/>
        <v/>
      </c>
    </row>
    <row r="614" spans="4:5" x14ac:dyDescent="0.25">
      <c r="D614" s="10"/>
      <c r="E614" s="1" t="str">
        <f t="shared" si="9"/>
        <v/>
      </c>
    </row>
    <row r="615" spans="4:5" x14ac:dyDescent="0.25">
      <c r="D615" s="10"/>
      <c r="E615" s="1" t="str">
        <f t="shared" si="9"/>
        <v/>
      </c>
    </row>
    <row r="616" spans="4:5" x14ac:dyDescent="0.25">
      <c r="D616" s="10"/>
      <c r="E616" s="1" t="str">
        <f t="shared" si="9"/>
        <v/>
      </c>
    </row>
    <row r="617" spans="4:5" x14ac:dyDescent="0.25">
      <c r="D617" s="10"/>
      <c r="E617" s="1" t="str">
        <f t="shared" si="9"/>
        <v/>
      </c>
    </row>
    <row r="618" spans="4:5" x14ac:dyDescent="0.25">
      <c r="D618" s="10"/>
      <c r="E618" s="1" t="str">
        <f t="shared" si="9"/>
        <v/>
      </c>
    </row>
    <row r="619" spans="4:5" x14ac:dyDescent="0.25">
      <c r="D619" s="10"/>
      <c r="E619" s="1" t="str">
        <f t="shared" si="9"/>
        <v/>
      </c>
    </row>
    <row r="620" spans="4:5" x14ac:dyDescent="0.25">
      <c r="D620" s="10"/>
      <c r="E620" s="1" t="str">
        <f t="shared" si="9"/>
        <v/>
      </c>
    </row>
    <row r="621" spans="4:5" x14ac:dyDescent="0.25">
      <c r="D621" s="10"/>
      <c r="E621" s="1" t="str">
        <f t="shared" si="9"/>
        <v/>
      </c>
    </row>
    <row r="622" spans="4:5" x14ac:dyDescent="0.25">
      <c r="D622" s="10"/>
      <c r="E622" s="1" t="str">
        <f t="shared" si="9"/>
        <v/>
      </c>
    </row>
    <row r="623" spans="4:5" x14ac:dyDescent="0.25">
      <c r="D623" s="10"/>
      <c r="E623" s="1" t="str">
        <f t="shared" si="9"/>
        <v/>
      </c>
    </row>
    <row r="624" spans="4:5" x14ac:dyDescent="0.25">
      <c r="D624" s="10"/>
      <c r="E624" s="1" t="str">
        <f t="shared" si="9"/>
        <v/>
      </c>
    </row>
    <row r="625" spans="4:5" x14ac:dyDescent="0.25">
      <c r="D625" s="10"/>
      <c r="E625" s="1" t="str">
        <f t="shared" si="9"/>
        <v/>
      </c>
    </row>
    <row r="626" spans="4:5" x14ac:dyDescent="0.25">
      <c r="D626" s="10"/>
      <c r="E626" s="1" t="str">
        <f t="shared" si="9"/>
        <v/>
      </c>
    </row>
    <row r="627" spans="4:5" x14ac:dyDescent="0.25">
      <c r="D627" s="10"/>
      <c r="E627" s="1" t="str">
        <f t="shared" si="9"/>
        <v/>
      </c>
    </row>
    <row r="628" spans="4:5" x14ac:dyDescent="0.25">
      <c r="D628" s="10"/>
      <c r="E628" s="1" t="str">
        <f t="shared" si="9"/>
        <v/>
      </c>
    </row>
    <row r="629" spans="4:5" x14ac:dyDescent="0.25">
      <c r="D629" s="10"/>
      <c r="E629" s="1" t="str">
        <f t="shared" si="9"/>
        <v/>
      </c>
    </row>
    <row r="630" spans="4:5" x14ac:dyDescent="0.25">
      <c r="D630" s="10"/>
      <c r="E630" s="1" t="str">
        <f t="shared" si="9"/>
        <v/>
      </c>
    </row>
    <row r="631" spans="4:5" x14ac:dyDescent="0.25">
      <c r="D631" s="10"/>
      <c r="E631" s="1" t="str">
        <f t="shared" si="9"/>
        <v/>
      </c>
    </row>
    <row r="632" spans="4:5" x14ac:dyDescent="0.25">
      <c r="D632" s="10"/>
      <c r="E632" s="1" t="str">
        <f t="shared" si="9"/>
        <v/>
      </c>
    </row>
    <row r="633" spans="4:5" x14ac:dyDescent="0.25">
      <c r="D633" s="10"/>
      <c r="E633" s="1" t="str">
        <f t="shared" si="9"/>
        <v/>
      </c>
    </row>
    <row r="634" spans="4:5" x14ac:dyDescent="0.25">
      <c r="D634" s="10"/>
      <c r="E634" s="1" t="str">
        <f t="shared" si="9"/>
        <v/>
      </c>
    </row>
    <row r="635" spans="4:5" x14ac:dyDescent="0.25">
      <c r="D635" s="10"/>
      <c r="E635" s="1" t="str">
        <f t="shared" si="9"/>
        <v/>
      </c>
    </row>
    <row r="636" spans="4:5" x14ac:dyDescent="0.25">
      <c r="D636" s="10"/>
      <c r="E636" s="1" t="str">
        <f t="shared" si="9"/>
        <v/>
      </c>
    </row>
    <row r="637" spans="4:5" x14ac:dyDescent="0.25">
      <c r="D637" s="10"/>
      <c r="E637" s="1" t="str">
        <f t="shared" si="9"/>
        <v/>
      </c>
    </row>
    <row r="638" spans="4:5" x14ac:dyDescent="0.25">
      <c r="D638" s="10"/>
      <c r="E638" s="1" t="str">
        <f t="shared" si="9"/>
        <v/>
      </c>
    </row>
    <row r="639" spans="4:5" x14ac:dyDescent="0.25">
      <c r="D639" s="10"/>
      <c r="E639" s="1" t="str">
        <f t="shared" si="9"/>
        <v/>
      </c>
    </row>
    <row r="640" spans="4:5" x14ac:dyDescent="0.25">
      <c r="D640" s="10"/>
      <c r="E640" s="1" t="str">
        <f t="shared" si="9"/>
        <v/>
      </c>
    </row>
    <row r="641" spans="4:5" x14ac:dyDescent="0.25">
      <c r="D641" s="10"/>
      <c r="E641" s="1" t="str">
        <f t="shared" si="9"/>
        <v/>
      </c>
    </row>
    <row r="642" spans="4:5" x14ac:dyDescent="0.25">
      <c r="D642" s="10"/>
      <c r="E642" s="1" t="str">
        <f t="shared" si="9"/>
        <v/>
      </c>
    </row>
    <row r="643" spans="4:5" x14ac:dyDescent="0.25">
      <c r="D643" s="10"/>
      <c r="E643" s="1" t="str">
        <f t="shared" ref="E643:E706" si="10">IF(ISBLANK($C643), "", "[" &amp; C643 &amp; ", '" &amp; A643 &amp; "', '" &amp; B643 &amp; "']" &amp; IF(E644 = "", "", ","))</f>
        <v/>
      </c>
    </row>
    <row r="644" spans="4:5" x14ac:dyDescent="0.25">
      <c r="D644" s="10"/>
      <c r="E644" s="1" t="str">
        <f t="shared" si="10"/>
        <v/>
      </c>
    </row>
    <row r="645" spans="4:5" x14ac:dyDescent="0.25">
      <c r="D645" s="10"/>
      <c r="E645" s="1" t="str">
        <f t="shared" si="10"/>
        <v/>
      </c>
    </row>
    <row r="646" spans="4:5" x14ac:dyDescent="0.25">
      <c r="D646" s="10"/>
      <c r="E646" s="1" t="str">
        <f t="shared" si="10"/>
        <v/>
      </c>
    </row>
    <row r="647" spans="4:5" x14ac:dyDescent="0.25">
      <c r="D647" s="10"/>
      <c r="E647" s="1" t="str">
        <f t="shared" si="10"/>
        <v/>
      </c>
    </row>
    <row r="648" spans="4:5" x14ac:dyDescent="0.25">
      <c r="D648" s="10"/>
      <c r="E648" s="1" t="str">
        <f t="shared" si="10"/>
        <v/>
      </c>
    </row>
    <row r="649" spans="4:5" x14ac:dyDescent="0.25">
      <c r="D649" s="10"/>
      <c r="E649" s="1" t="str">
        <f t="shared" si="10"/>
        <v/>
      </c>
    </row>
    <row r="650" spans="4:5" x14ac:dyDescent="0.25">
      <c r="D650" s="10"/>
      <c r="E650" s="1" t="str">
        <f t="shared" si="10"/>
        <v/>
      </c>
    </row>
    <row r="651" spans="4:5" x14ac:dyDescent="0.25">
      <c r="D651" s="10"/>
      <c r="E651" s="1" t="str">
        <f t="shared" si="10"/>
        <v/>
      </c>
    </row>
    <row r="652" spans="4:5" x14ac:dyDescent="0.25">
      <c r="D652" s="10"/>
      <c r="E652" s="1" t="str">
        <f t="shared" si="10"/>
        <v/>
      </c>
    </row>
    <row r="653" spans="4:5" x14ac:dyDescent="0.25">
      <c r="D653" s="10"/>
      <c r="E653" s="1" t="str">
        <f t="shared" si="10"/>
        <v/>
      </c>
    </row>
    <row r="654" spans="4:5" x14ac:dyDescent="0.25">
      <c r="D654" s="10"/>
      <c r="E654" s="1" t="str">
        <f t="shared" si="10"/>
        <v/>
      </c>
    </row>
    <row r="655" spans="4:5" x14ac:dyDescent="0.25">
      <c r="D655" s="10"/>
      <c r="E655" s="1" t="str">
        <f t="shared" si="10"/>
        <v/>
      </c>
    </row>
    <row r="656" spans="4:5" x14ac:dyDescent="0.25">
      <c r="D656" s="10"/>
      <c r="E656" s="1" t="str">
        <f t="shared" si="10"/>
        <v/>
      </c>
    </row>
    <row r="657" spans="4:5" x14ac:dyDescent="0.25">
      <c r="D657" s="10"/>
      <c r="E657" s="1" t="str">
        <f t="shared" si="10"/>
        <v/>
      </c>
    </row>
    <row r="658" spans="4:5" x14ac:dyDescent="0.25">
      <c r="D658" s="10"/>
      <c r="E658" s="1" t="str">
        <f t="shared" si="10"/>
        <v/>
      </c>
    </row>
    <row r="659" spans="4:5" x14ac:dyDescent="0.25">
      <c r="D659" s="10"/>
      <c r="E659" s="1" t="str">
        <f t="shared" si="10"/>
        <v/>
      </c>
    </row>
    <row r="660" spans="4:5" x14ac:dyDescent="0.25">
      <c r="D660" s="10"/>
      <c r="E660" s="1" t="str">
        <f t="shared" si="10"/>
        <v/>
      </c>
    </row>
    <row r="661" spans="4:5" x14ac:dyDescent="0.25">
      <c r="D661" s="10"/>
      <c r="E661" s="1" t="str">
        <f t="shared" si="10"/>
        <v/>
      </c>
    </row>
    <row r="662" spans="4:5" x14ac:dyDescent="0.25">
      <c r="D662" s="10"/>
      <c r="E662" s="1" t="str">
        <f t="shared" si="10"/>
        <v/>
      </c>
    </row>
    <row r="663" spans="4:5" x14ac:dyDescent="0.25">
      <c r="D663" s="10"/>
      <c r="E663" s="1" t="str">
        <f t="shared" si="10"/>
        <v/>
      </c>
    </row>
    <row r="664" spans="4:5" x14ac:dyDescent="0.25">
      <c r="D664" s="10"/>
      <c r="E664" s="1" t="str">
        <f t="shared" si="10"/>
        <v/>
      </c>
    </row>
    <row r="665" spans="4:5" x14ac:dyDescent="0.25">
      <c r="D665" s="10"/>
      <c r="E665" s="1" t="str">
        <f t="shared" si="10"/>
        <v/>
      </c>
    </row>
    <row r="666" spans="4:5" x14ac:dyDescent="0.25">
      <c r="D666" s="10"/>
      <c r="E666" s="1" t="str">
        <f t="shared" si="10"/>
        <v/>
      </c>
    </row>
    <row r="667" spans="4:5" x14ac:dyDescent="0.25">
      <c r="D667" s="10"/>
      <c r="E667" s="1" t="str">
        <f t="shared" si="10"/>
        <v/>
      </c>
    </row>
    <row r="668" spans="4:5" x14ac:dyDescent="0.25">
      <c r="D668" s="10"/>
      <c r="E668" s="1" t="str">
        <f t="shared" si="10"/>
        <v/>
      </c>
    </row>
    <row r="669" spans="4:5" x14ac:dyDescent="0.25">
      <c r="D669" s="10"/>
      <c r="E669" s="1" t="str">
        <f t="shared" si="10"/>
        <v/>
      </c>
    </row>
    <row r="670" spans="4:5" x14ac:dyDescent="0.25">
      <c r="D670" s="10"/>
      <c r="E670" s="1" t="str">
        <f t="shared" si="10"/>
        <v/>
      </c>
    </row>
    <row r="671" spans="4:5" x14ac:dyDescent="0.25">
      <c r="D671" s="10"/>
      <c r="E671" s="1" t="str">
        <f t="shared" si="10"/>
        <v/>
      </c>
    </row>
    <row r="672" spans="4:5" x14ac:dyDescent="0.25">
      <c r="D672" s="10"/>
      <c r="E672" s="1" t="str">
        <f t="shared" si="10"/>
        <v/>
      </c>
    </row>
    <row r="673" spans="4:5" x14ac:dyDescent="0.25">
      <c r="D673" s="10"/>
      <c r="E673" s="1" t="str">
        <f t="shared" si="10"/>
        <v/>
      </c>
    </row>
    <row r="674" spans="4:5" x14ac:dyDescent="0.25">
      <c r="D674" s="10"/>
      <c r="E674" s="1" t="str">
        <f t="shared" si="10"/>
        <v/>
      </c>
    </row>
    <row r="675" spans="4:5" x14ac:dyDescent="0.25">
      <c r="D675" s="10"/>
      <c r="E675" s="1" t="str">
        <f t="shared" si="10"/>
        <v/>
      </c>
    </row>
    <row r="676" spans="4:5" x14ac:dyDescent="0.25">
      <c r="D676" s="10"/>
      <c r="E676" s="1" t="str">
        <f t="shared" si="10"/>
        <v/>
      </c>
    </row>
    <row r="677" spans="4:5" x14ac:dyDescent="0.25">
      <c r="D677" s="10"/>
      <c r="E677" s="1" t="str">
        <f t="shared" si="10"/>
        <v/>
      </c>
    </row>
    <row r="678" spans="4:5" x14ac:dyDescent="0.25">
      <c r="D678" s="10"/>
      <c r="E678" s="1" t="str">
        <f t="shared" si="10"/>
        <v/>
      </c>
    </row>
    <row r="679" spans="4:5" x14ac:dyDescent="0.25">
      <c r="D679" s="10"/>
      <c r="E679" s="1" t="str">
        <f t="shared" si="10"/>
        <v/>
      </c>
    </row>
    <row r="680" spans="4:5" x14ac:dyDescent="0.25">
      <c r="D680" s="10"/>
      <c r="E680" s="1" t="str">
        <f t="shared" si="10"/>
        <v/>
      </c>
    </row>
    <row r="681" spans="4:5" x14ac:dyDescent="0.25">
      <c r="D681" s="10"/>
      <c r="E681" s="1" t="str">
        <f t="shared" si="10"/>
        <v/>
      </c>
    </row>
    <row r="682" spans="4:5" x14ac:dyDescent="0.25">
      <c r="D682" s="10"/>
      <c r="E682" s="1" t="str">
        <f t="shared" si="10"/>
        <v/>
      </c>
    </row>
    <row r="683" spans="4:5" x14ac:dyDescent="0.25">
      <c r="D683" s="10"/>
      <c r="E683" s="1" t="str">
        <f t="shared" si="10"/>
        <v/>
      </c>
    </row>
    <row r="684" spans="4:5" x14ac:dyDescent="0.25">
      <c r="D684" s="10"/>
      <c r="E684" s="1" t="str">
        <f t="shared" si="10"/>
        <v/>
      </c>
    </row>
    <row r="685" spans="4:5" x14ac:dyDescent="0.25">
      <c r="D685" s="10"/>
      <c r="E685" s="1" t="str">
        <f t="shared" si="10"/>
        <v/>
      </c>
    </row>
    <row r="686" spans="4:5" x14ac:dyDescent="0.25">
      <c r="D686" s="10"/>
      <c r="E686" s="1" t="str">
        <f t="shared" si="10"/>
        <v/>
      </c>
    </row>
    <row r="687" spans="4:5" x14ac:dyDescent="0.25">
      <c r="D687" s="10"/>
      <c r="E687" s="1" t="str">
        <f t="shared" si="10"/>
        <v/>
      </c>
    </row>
    <row r="688" spans="4:5" x14ac:dyDescent="0.25">
      <c r="D688" s="10"/>
      <c r="E688" s="1" t="str">
        <f t="shared" si="10"/>
        <v/>
      </c>
    </row>
    <row r="689" spans="4:5" x14ac:dyDescent="0.25">
      <c r="D689" s="10"/>
      <c r="E689" s="1" t="str">
        <f t="shared" si="10"/>
        <v/>
      </c>
    </row>
    <row r="690" spans="4:5" x14ac:dyDescent="0.25">
      <c r="D690" s="10"/>
      <c r="E690" s="1" t="str">
        <f t="shared" si="10"/>
        <v/>
      </c>
    </row>
    <row r="691" spans="4:5" x14ac:dyDescent="0.25">
      <c r="D691" s="10"/>
      <c r="E691" s="1" t="str">
        <f t="shared" si="10"/>
        <v/>
      </c>
    </row>
    <row r="692" spans="4:5" x14ac:dyDescent="0.25">
      <c r="D692" s="10"/>
      <c r="E692" s="1" t="str">
        <f t="shared" si="10"/>
        <v/>
      </c>
    </row>
    <row r="693" spans="4:5" x14ac:dyDescent="0.25">
      <c r="D693" s="10"/>
      <c r="E693" s="1" t="str">
        <f t="shared" si="10"/>
        <v/>
      </c>
    </row>
    <row r="694" spans="4:5" x14ac:dyDescent="0.25">
      <c r="D694" s="10"/>
      <c r="E694" s="1" t="str">
        <f t="shared" si="10"/>
        <v/>
      </c>
    </row>
    <row r="695" spans="4:5" x14ac:dyDescent="0.25">
      <c r="D695" s="10"/>
      <c r="E695" s="1" t="str">
        <f t="shared" si="10"/>
        <v/>
      </c>
    </row>
    <row r="696" spans="4:5" x14ac:dyDescent="0.25">
      <c r="D696" s="10"/>
      <c r="E696" s="1" t="str">
        <f t="shared" si="10"/>
        <v/>
      </c>
    </row>
    <row r="697" spans="4:5" x14ac:dyDescent="0.25">
      <c r="D697" s="10"/>
      <c r="E697" s="1" t="str">
        <f t="shared" si="10"/>
        <v/>
      </c>
    </row>
    <row r="698" spans="4:5" x14ac:dyDescent="0.25">
      <c r="D698" s="10"/>
      <c r="E698" s="1" t="str">
        <f t="shared" si="10"/>
        <v/>
      </c>
    </row>
    <row r="699" spans="4:5" x14ac:dyDescent="0.25">
      <c r="D699" s="10"/>
      <c r="E699" s="1" t="str">
        <f t="shared" si="10"/>
        <v/>
      </c>
    </row>
    <row r="700" spans="4:5" x14ac:dyDescent="0.25">
      <c r="D700" s="10"/>
      <c r="E700" s="1" t="str">
        <f t="shared" si="10"/>
        <v/>
      </c>
    </row>
    <row r="701" spans="4:5" x14ac:dyDescent="0.25">
      <c r="D701" s="10"/>
      <c r="E701" s="1" t="str">
        <f t="shared" si="10"/>
        <v/>
      </c>
    </row>
    <row r="702" spans="4:5" x14ac:dyDescent="0.25">
      <c r="D702" s="10"/>
      <c r="E702" s="1" t="str">
        <f t="shared" si="10"/>
        <v/>
      </c>
    </row>
    <row r="703" spans="4:5" x14ac:dyDescent="0.25">
      <c r="D703" s="10"/>
      <c r="E703" s="1" t="str">
        <f t="shared" si="10"/>
        <v/>
      </c>
    </row>
    <row r="704" spans="4:5" x14ac:dyDescent="0.25">
      <c r="D704" s="10"/>
      <c r="E704" s="1" t="str">
        <f t="shared" si="10"/>
        <v/>
      </c>
    </row>
    <row r="705" spans="4:5" x14ac:dyDescent="0.25">
      <c r="D705" s="10"/>
      <c r="E705" s="1" t="str">
        <f t="shared" si="10"/>
        <v/>
      </c>
    </row>
    <row r="706" spans="4:5" x14ac:dyDescent="0.25">
      <c r="D706" s="10"/>
      <c r="E706" s="1" t="str">
        <f t="shared" si="10"/>
        <v/>
      </c>
    </row>
    <row r="707" spans="4:5" x14ac:dyDescent="0.25">
      <c r="D707" s="10"/>
      <c r="E707" s="1" t="str">
        <f t="shared" ref="E707:E770" si="11">IF(ISBLANK($C707), "", "[" &amp; C707 &amp; ", '" &amp; A707 &amp; "', '" &amp; B707 &amp; "']" &amp; IF(E708 = "", "", ","))</f>
        <v/>
      </c>
    </row>
    <row r="708" spans="4:5" x14ac:dyDescent="0.25">
      <c r="D708" s="10"/>
      <c r="E708" s="1" t="str">
        <f t="shared" si="11"/>
        <v/>
      </c>
    </row>
    <row r="709" spans="4:5" x14ac:dyDescent="0.25">
      <c r="D709" s="10"/>
      <c r="E709" s="1" t="str">
        <f t="shared" si="11"/>
        <v/>
      </c>
    </row>
    <row r="710" spans="4:5" x14ac:dyDescent="0.25">
      <c r="D710" s="10"/>
      <c r="E710" s="1" t="str">
        <f t="shared" si="11"/>
        <v/>
      </c>
    </row>
    <row r="711" spans="4:5" x14ac:dyDescent="0.25">
      <c r="D711" s="10"/>
      <c r="E711" s="1" t="str">
        <f t="shared" si="11"/>
        <v/>
      </c>
    </row>
    <row r="712" spans="4:5" x14ac:dyDescent="0.25">
      <c r="D712" s="10"/>
      <c r="E712" s="1" t="str">
        <f t="shared" si="11"/>
        <v/>
      </c>
    </row>
    <row r="713" spans="4:5" x14ac:dyDescent="0.25">
      <c r="D713" s="10"/>
      <c r="E713" s="1" t="str">
        <f t="shared" si="11"/>
        <v/>
      </c>
    </row>
    <row r="714" spans="4:5" x14ac:dyDescent="0.25">
      <c r="D714" s="10"/>
      <c r="E714" s="1" t="str">
        <f t="shared" si="11"/>
        <v/>
      </c>
    </row>
    <row r="715" spans="4:5" x14ac:dyDescent="0.25">
      <c r="D715" s="10"/>
      <c r="E715" s="1" t="str">
        <f t="shared" si="11"/>
        <v/>
      </c>
    </row>
    <row r="716" spans="4:5" x14ac:dyDescent="0.25">
      <c r="D716" s="10"/>
      <c r="E716" s="1" t="str">
        <f t="shared" si="11"/>
        <v/>
      </c>
    </row>
    <row r="717" spans="4:5" x14ac:dyDescent="0.25">
      <c r="D717" s="10"/>
      <c r="E717" s="1" t="str">
        <f t="shared" si="11"/>
        <v/>
      </c>
    </row>
    <row r="718" spans="4:5" x14ac:dyDescent="0.25">
      <c r="D718" s="10"/>
      <c r="E718" s="1" t="str">
        <f t="shared" si="11"/>
        <v/>
      </c>
    </row>
    <row r="719" spans="4:5" x14ac:dyDescent="0.25">
      <c r="D719" s="10"/>
      <c r="E719" s="1" t="str">
        <f t="shared" si="11"/>
        <v/>
      </c>
    </row>
    <row r="720" spans="4:5" x14ac:dyDescent="0.25">
      <c r="D720" s="10"/>
      <c r="E720" s="1" t="str">
        <f t="shared" si="11"/>
        <v/>
      </c>
    </row>
    <row r="721" spans="4:5" x14ac:dyDescent="0.25">
      <c r="D721" s="10"/>
      <c r="E721" s="1" t="str">
        <f t="shared" si="11"/>
        <v/>
      </c>
    </row>
    <row r="722" spans="4:5" x14ac:dyDescent="0.25">
      <c r="D722" s="10"/>
      <c r="E722" s="1" t="str">
        <f t="shared" si="11"/>
        <v/>
      </c>
    </row>
    <row r="723" spans="4:5" x14ac:dyDescent="0.25">
      <c r="D723" s="10"/>
      <c r="E723" s="1" t="str">
        <f t="shared" si="11"/>
        <v/>
      </c>
    </row>
    <row r="724" spans="4:5" x14ac:dyDescent="0.25">
      <c r="D724" s="10"/>
      <c r="E724" s="1" t="str">
        <f t="shared" si="11"/>
        <v/>
      </c>
    </row>
    <row r="725" spans="4:5" x14ac:dyDescent="0.25">
      <c r="D725" s="10"/>
      <c r="E725" s="1" t="str">
        <f t="shared" si="11"/>
        <v/>
      </c>
    </row>
    <row r="726" spans="4:5" x14ac:dyDescent="0.25">
      <c r="D726" s="10"/>
      <c r="E726" s="1" t="str">
        <f t="shared" si="11"/>
        <v/>
      </c>
    </row>
    <row r="727" spans="4:5" x14ac:dyDescent="0.25">
      <c r="D727" s="10"/>
      <c r="E727" s="1" t="str">
        <f t="shared" si="11"/>
        <v/>
      </c>
    </row>
    <row r="728" spans="4:5" x14ac:dyDescent="0.25">
      <c r="D728" s="10"/>
      <c r="E728" s="1" t="str">
        <f t="shared" si="11"/>
        <v/>
      </c>
    </row>
    <row r="729" spans="4:5" x14ac:dyDescent="0.25">
      <c r="D729" s="10"/>
      <c r="E729" s="1" t="str">
        <f t="shared" si="11"/>
        <v/>
      </c>
    </row>
    <row r="730" spans="4:5" x14ac:dyDescent="0.25">
      <c r="D730" s="10"/>
      <c r="E730" s="1" t="str">
        <f t="shared" si="11"/>
        <v/>
      </c>
    </row>
    <row r="731" spans="4:5" x14ac:dyDescent="0.25">
      <c r="D731" s="10"/>
      <c r="E731" s="1" t="str">
        <f t="shared" si="11"/>
        <v/>
      </c>
    </row>
    <row r="732" spans="4:5" x14ac:dyDescent="0.25">
      <c r="D732" s="10"/>
      <c r="E732" s="1" t="str">
        <f t="shared" si="11"/>
        <v/>
      </c>
    </row>
    <row r="733" spans="4:5" x14ac:dyDescent="0.25">
      <c r="D733" s="10"/>
      <c r="E733" s="1" t="str">
        <f t="shared" si="11"/>
        <v/>
      </c>
    </row>
    <row r="734" spans="4:5" x14ac:dyDescent="0.25">
      <c r="D734" s="10"/>
      <c r="E734" s="1" t="str">
        <f t="shared" si="11"/>
        <v/>
      </c>
    </row>
    <row r="735" spans="4:5" x14ac:dyDescent="0.25">
      <c r="D735" s="10"/>
      <c r="E735" s="1" t="str">
        <f t="shared" si="11"/>
        <v/>
      </c>
    </row>
    <row r="736" spans="4:5" x14ac:dyDescent="0.25">
      <c r="D736" s="10"/>
      <c r="E736" s="1" t="str">
        <f t="shared" si="11"/>
        <v/>
      </c>
    </row>
    <row r="737" spans="4:5" x14ac:dyDescent="0.25">
      <c r="D737" s="10"/>
      <c r="E737" s="1" t="str">
        <f t="shared" si="11"/>
        <v/>
      </c>
    </row>
    <row r="738" spans="4:5" x14ac:dyDescent="0.25">
      <c r="D738" s="10"/>
      <c r="E738" s="1" t="str">
        <f t="shared" si="11"/>
        <v/>
      </c>
    </row>
    <row r="739" spans="4:5" x14ac:dyDescent="0.25">
      <c r="D739" s="10"/>
      <c r="E739" s="1" t="str">
        <f t="shared" si="11"/>
        <v/>
      </c>
    </row>
    <row r="740" spans="4:5" x14ac:dyDescent="0.25">
      <c r="D740" s="10"/>
      <c r="E740" s="1" t="str">
        <f t="shared" si="11"/>
        <v/>
      </c>
    </row>
    <row r="741" spans="4:5" x14ac:dyDescent="0.25">
      <c r="D741" s="10"/>
      <c r="E741" s="1" t="str">
        <f t="shared" si="11"/>
        <v/>
      </c>
    </row>
    <row r="742" spans="4:5" x14ac:dyDescent="0.25">
      <c r="D742" s="10"/>
      <c r="E742" s="1" t="str">
        <f t="shared" si="11"/>
        <v/>
      </c>
    </row>
    <row r="743" spans="4:5" x14ac:dyDescent="0.25">
      <c r="D743" s="10"/>
      <c r="E743" s="1" t="str">
        <f t="shared" si="11"/>
        <v/>
      </c>
    </row>
    <row r="744" spans="4:5" x14ac:dyDescent="0.25">
      <c r="D744" s="10"/>
      <c r="E744" s="1" t="str">
        <f t="shared" si="11"/>
        <v/>
      </c>
    </row>
    <row r="745" spans="4:5" x14ac:dyDescent="0.25">
      <c r="D745" s="10"/>
      <c r="E745" s="1" t="str">
        <f t="shared" si="11"/>
        <v/>
      </c>
    </row>
    <row r="746" spans="4:5" x14ac:dyDescent="0.25">
      <c r="D746" s="10"/>
      <c r="E746" s="1" t="str">
        <f t="shared" si="11"/>
        <v/>
      </c>
    </row>
    <row r="747" spans="4:5" x14ac:dyDescent="0.25">
      <c r="D747" s="10"/>
      <c r="E747" s="1" t="str">
        <f t="shared" si="11"/>
        <v/>
      </c>
    </row>
    <row r="748" spans="4:5" x14ac:dyDescent="0.25">
      <c r="D748" s="10"/>
      <c r="E748" s="1" t="str">
        <f t="shared" si="11"/>
        <v/>
      </c>
    </row>
    <row r="749" spans="4:5" x14ac:dyDescent="0.25">
      <c r="D749" s="10"/>
      <c r="E749" s="1" t="str">
        <f t="shared" si="11"/>
        <v/>
      </c>
    </row>
    <row r="750" spans="4:5" x14ac:dyDescent="0.25">
      <c r="D750" s="10"/>
      <c r="E750" s="1" t="str">
        <f t="shared" si="11"/>
        <v/>
      </c>
    </row>
    <row r="751" spans="4:5" x14ac:dyDescent="0.25">
      <c r="D751" s="10"/>
      <c r="E751" s="1" t="str">
        <f t="shared" si="11"/>
        <v/>
      </c>
    </row>
    <row r="752" spans="4:5" x14ac:dyDescent="0.25">
      <c r="D752" s="10"/>
      <c r="E752" s="1" t="str">
        <f t="shared" si="11"/>
        <v/>
      </c>
    </row>
    <row r="753" spans="4:5" x14ac:dyDescent="0.25">
      <c r="D753" s="10"/>
      <c r="E753" s="1" t="str">
        <f t="shared" si="11"/>
        <v/>
      </c>
    </row>
    <row r="754" spans="4:5" x14ac:dyDescent="0.25">
      <c r="D754" s="10"/>
      <c r="E754" s="1" t="str">
        <f t="shared" si="11"/>
        <v/>
      </c>
    </row>
    <row r="755" spans="4:5" x14ac:dyDescent="0.25">
      <c r="D755" s="10"/>
      <c r="E755" s="1" t="str">
        <f t="shared" si="11"/>
        <v/>
      </c>
    </row>
    <row r="756" spans="4:5" x14ac:dyDescent="0.25">
      <c r="D756" s="10"/>
      <c r="E756" s="1" t="str">
        <f t="shared" si="11"/>
        <v/>
      </c>
    </row>
    <row r="757" spans="4:5" x14ac:dyDescent="0.25">
      <c r="D757" s="10"/>
      <c r="E757" s="1" t="str">
        <f t="shared" si="11"/>
        <v/>
      </c>
    </row>
    <row r="758" spans="4:5" x14ac:dyDescent="0.25">
      <c r="D758" s="10"/>
      <c r="E758" s="1" t="str">
        <f t="shared" si="11"/>
        <v/>
      </c>
    </row>
    <row r="759" spans="4:5" x14ac:dyDescent="0.25">
      <c r="D759" s="10"/>
      <c r="E759" s="1" t="str">
        <f t="shared" si="11"/>
        <v/>
      </c>
    </row>
    <row r="760" spans="4:5" x14ac:dyDescent="0.25">
      <c r="D760" s="10"/>
      <c r="E760" s="1" t="str">
        <f t="shared" si="11"/>
        <v/>
      </c>
    </row>
    <row r="761" spans="4:5" x14ac:dyDescent="0.25">
      <c r="D761" s="10"/>
      <c r="E761" s="1" t="str">
        <f t="shared" si="11"/>
        <v/>
      </c>
    </row>
    <row r="762" spans="4:5" x14ac:dyDescent="0.25">
      <c r="D762" s="10"/>
      <c r="E762" s="1" t="str">
        <f t="shared" si="11"/>
        <v/>
      </c>
    </row>
    <row r="763" spans="4:5" x14ac:dyDescent="0.25">
      <c r="D763" s="10"/>
      <c r="E763" s="1" t="str">
        <f t="shared" si="11"/>
        <v/>
      </c>
    </row>
    <row r="764" spans="4:5" x14ac:dyDescent="0.25">
      <c r="D764" s="10"/>
      <c r="E764" s="1" t="str">
        <f t="shared" si="11"/>
        <v/>
      </c>
    </row>
    <row r="765" spans="4:5" x14ac:dyDescent="0.25">
      <c r="D765" s="10"/>
      <c r="E765" s="1" t="str">
        <f t="shared" si="11"/>
        <v/>
      </c>
    </row>
    <row r="766" spans="4:5" x14ac:dyDescent="0.25">
      <c r="D766" s="10"/>
      <c r="E766" s="1" t="str">
        <f t="shared" si="11"/>
        <v/>
      </c>
    </row>
    <row r="767" spans="4:5" x14ac:dyDescent="0.25">
      <c r="D767" s="10"/>
      <c r="E767" s="1" t="str">
        <f t="shared" si="11"/>
        <v/>
      </c>
    </row>
    <row r="768" spans="4:5" x14ac:dyDescent="0.25">
      <c r="D768" s="10"/>
      <c r="E768" s="1" t="str">
        <f t="shared" si="11"/>
        <v/>
      </c>
    </row>
    <row r="769" spans="4:5" x14ac:dyDescent="0.25">
      <c r="D769" s="10"/>
      <c r="E769" s="1" t="str">
        <f t="shared" si="11"/>
        <v/>
      </c>
    </row>
    <row r="770" spans="4:5" x14ac:dyDescent="0.25">
      <c r="D770" s="10"/>
      <c r="E770" s="1" t="str">
        <f t="shared" si="11"/>
        <v/>
      </c>
    </row>
    <row r="771" spans="4:5" x14ac:dyDescent="0.25">
      <c r="D771" s="10"/>
      <c r="E771" s="1" t="str">
        <f t="shared" ref="E771:E834" si="12">IF(ISBLANK($C771), "", "[" &amp; C771 &amp; ", '" &amp; A771 &amp; "', '" &amp; B771 &amp; "']" &amp; IF(E772 = "", "", ","))</f>
        <v/>
      </c>
    </row>
    <row r="772" spans="4:5" x14ac:dyDescent="0.25">
      <c r="D772" s="10"/>
      <c r="E772" s="1" t="str">
        <f t="shared" si="12"/>
        <v/>
      </c>
    </row>
    <row r="773" spans="4:5" x14ac:dyDescent="0.25">
      <c r="D773" s="10"/>
      <c r="E773" s="1" t="str">
        <f t="shared" si="12"/>
        <v/>
      </c>
    </row>
    <row r="774" spans="4:5" x14ac:dyDescent="0.25">
      <c r="D774" s="10"/>
      <c r="E774" s="1" t="str">
        <f t="shared" si="12"/>
        <v/>
      </c>
    </row>
    <row r="775" spans="4:5" x14ac:dyDescent="0.25">
      <c r="D775" s="10"/>
      <c r="E775" s="1" t="str">
        <f t="shared" si="12"/>
        <v/>
      </c>
    </row>
    <row r="776" spans="4:5" x14ac:dyDescent="0.25">
      <c r="D776" s="10"/>
      <c r="E776" s="1" t="str">
        <f t="shared" si="12"/>
        <v/>
      </c>
    </row>
    <row r="777" spans="4:5" x14ac:dyDescent="0.25">
      <c r="D777" s="10"/>
      <c r="E777" s="1" t="str">
        <f t="shared" si="12"/>
        <v/>
      </c>
    </row>
    <row r="778" spans="4:5" x14ac:dyDescent="0.25">
      <c r="D778" s="10"/>
      <c r="E778" s="1" t="str">
        <f t="shared" si="12"/>
        <v/>
      </c>
    </row>
    <row r="779" spans="4:5" x14ac:dyDescent="0.25">
      <c r="D779" s="10"/>
      <c r="E779" s="1" t="str">
        <f t="shared" si="12"/>
        <v/>
      </c>
    </row>
    <row r="780" spans="4:5" x14ac:dyDescent="0.25">
      <c r="D780" s="10"/>
      <c r="E780" s="1" t="str">
        <f t="shared" si="12"/>
        <v/>
      </c>
    </row>
    <row r="781" spans="4:5" x14ac:dyDescent="0.25">
      <c r="D781" s="10"/>
      <c r="E781" s="1" t="str">
        <f t="shared" si="12"/>
        <v/>
      </c>
    </row>
    <row r="782" spans="4:5" x14ac:dyDescent="0.25">
      <c r="D782" s="10"/>
      <c r="E782" s="1" t="str">
        <f t="shared" si="12"/>
        <v/>
      </c>
    </row>
    <row r="783" spans="4:5" x14ac:dyDescent="0.25">
      <c r="D783" s="10"/>
      <c r="E783" s="1" t="str">
        <f t="shared" si="12"/>
        <v/>
      </c>
    </row>
    <row r="784" spans="4:5" x14ac:dyDescent="0.25">
      <c r="D784" s="10"/>
      <c r="E784" s="1" t="str">
        <f t="shared" si="12"/>
        <v/>
      </c>
    </row>
    <row r="785" spans="4:5" x14ac:dyDescent="0.25">
      <c r="D785" s="10"/>
      <c r="E785" s="1" t="str">
        <f t="shared" si="12"/>
        <v/>
      </c>
    </row>
    <row r="786" spans="4:5" x14ac:dyDescent="0.25">
      <c r="D786" s="10"/>
      <c r="E786" s="1" t="str">
        <f t="shared" si="12"/>
        <v/>
      </c>
    </row>
    <row r="787" spans="4:5" x14ac:dyDescent="0.25">
      <c r="D787" s="10"/>
      <c r="E787" s="1" t="str">
        <f t="shared" si="12"/>
        <v/>
      </c>
    </row>
    <row r="788" spans="4:5" x14ac:dyDescent="0.25">
      <c r="D788" s="10"/>
      <c r="E788" s="1" t="str">
        <f t="shared" si="12"/>
        <v/>
      </c>
    </row>
    <row r="789" spans="4:5" x14ac:dyDescent="0.25">
      <c r="D789" s="10"/>
      <c r="E789" s="1" t="str">
        <f t="shared" si="12"/>
        <v/>
      </c>
    </row>
    <row r="790" spans="4:5" x14ac:dyDescent="0.25">
      <c r="D790" s="10"/>
      <c r="E790" s="1" t="str">
        <f t="shared" si="12"/>
        <v/>
      </c>
    </row>
    <row r="791" spans="4:5" x14ac:dyDescent="0.25">
      <c r="D791" s="10"/>
      <c r="E791" s="1" t="str">
        <f t="shared" si="12"/>
        <v/>
      </c>
    </row>
    <row r="792" spans="4:5" x14ac:dyDescent="0.25">
      <c r="D792" s="10"/>
      <c r="E792" s="1" t="str">
        <f t="shared" si="12"/>
        <v/>
      </c>
    </row>
    <row r="793" spans="4:5" x14ac:dyDescent="0.25">
      <c r="D793" s="10"/>
      <c r="E793" s="1" t="str">
        <f t="shared" si="12"/>
        <v/>
      </c>
    </row>
    <row r="794" spans="4:5" x14ac:dyDescent="0.25">
      <c r="D794" s="10"/>
      <c r="E794" s="1" t="str">
        <f t="shared" si="12"/>
        <v/>
      </c>
    </row>
    <row r="795" spans="4:5" x14ac:dyDescent="0.25">
      <c r="D795" s="10"/>
      <c r="E795" s="1" t="str">
        <f t="shared" si="12"/>
        <v/>
      </c>
    </row>
    <row r="796" spans="4:5" x14ac:dyDescent="0.25">
      <c r="D796" s="10"/>
      <c r="E796" s="1" t="str">
        <f t="shared" si="12"/>
        <v/>
      </c>
    </row>
    <row r="797" spans="4:5" x14ac:dyDescent="0.25">
      <c r="D797" s="10"/>
      <c r="E797" s="1" t="str">
        <f t="shared" si="12"/>
        <v/>
      </c>
    </row>
    <row r="798" spans="4:5" x14ac:dyDescent="0.25">
      <c r="D798" s="10"/>
      <c r="E798" s="1" t="str">
        <f t="shared" si="12"/>
        <v/>
      </c>
    </row>
    <row r="799" spans="4:5" x14ac:dyDescent="0.25">
      <c r="D799" s="10"/>
      <c r="E799" s="1" t="str">
        <f t="shared" si="12"/>
        <v/>
      </c>
    </row>
    <row r="800" spans="4:5" x14ac:dyDescent="0.25">
      <c r="D800" s="10"/>
      <c r="E800" s="1" t="str">
        <f t="shared" si="12"/>
        <v/>
      </c>
    </row>
    <row r="801" spans="4:5" x14ac:dyDescent="0.25">
      <c r="D801" s="10"/>
      <c r="E801" s="1" t="str">
        <f t="shared" si="12"/>
        <v/>
      </c>
    </row>
    <row r="802" spans="4:5" x14ac:dyDescent="0.25">
      <c r="D802" s="10"/>
      <c r="E802" s="1" t="str">
        <f t="shared" si="12"/>
        <v/>
      </c>
    </row>
    <row r="803" spans="4:5" x14ac:dyDescent="0.25">
      <c r="D803" s="10"/>
      <c r="E803" s="1" t="str">
        <f t="shared" si="12"/>
        <v/>
      </c>
    </row>
    <row r="804" spans="4:5" x14ac:dyDescent="0.25">
      <c r="D804" s="10"/>
      <c r="E804" s="1" t="str">
        <f t="shared" si="12"/>
        <v/>
      </c>
    </row>
    <row r="805" spans="4:5" x14ac:dyDescent="0.25">
      <c r="D805" s="10"/>
      <c r="E805" s="1" t="str">
        <f t="shared" si="12"/>
        <v/>
      </c>
    </row>
    <row r="806" spans="4:5" x14ac:dyDescent="0.25">
      <c r="D806" s="10"/>
      <c r="E806" s="1" t="str">
        <f t="shared" si="12"/>
        <v/>
      </c>
    </row>
    <row r="807" spans="4:5" x14ac:dyDescent="0.25">
      <c r="D807" s="10"/>
      <c r="E807" s="1" t="str">
        <f t="shared" si="12"/>
        <v/>
      </c>
    </row>
    <row r="808" spans="4:5" x14ac:dyDescent="0.25">
      <c r="D808" s="10"/>
      <c r="E808" s="1" t="str">
        <f t="shared" si="12"/>
        <v/>
      </c>
    </row>
    <row r="809" spans="4:5" x14ac:dyDescent="0.25">
      <c r="D809" s="10"/>
      <c r="E809" s="1" t="str">
        <f t="shared" si="12"/>
        <v/>
      </c>
    </row>
    <row r="810" spans="4:5" x14ac:dyDescent="0.25">
      <c r="D810" s="10"/>
      <c r="E810" s="1" t="str">
        <f t="shared" si="12"/>
        <v/>
      </c>
    </row>
    <row r="811" spans="4:5" x14ac:dyDescent="0.25">
      <c r="D811" s="10"/>
      <c r="E811" s="1" t="str">
        <f t="shared" si="12"/>
        <v/>
      </c>
    </row>
    <row r="812" spans="4:5" x14ac:dyDescent="0.25">
      <c r="D812" s="10"/>
      <c r="E812" s="1" t="str">
        <f t="shared" si="12"/>
        <v/>
      </c>
    </row>
    <row r="813" spans="4:5" x14ac:dyDescent="0.25">
      <c r="D813" s="10"/>
      <c r="E813" s="1" t="str">
        <f t="shared" si="12"/>
        <v/>
      </c>
    </row>
    <row r="814" spans="4:5" x14ac:dyDescent="0.25">
      <c r="D814" s="10"/>
      <c r="E814" s="1" t="str">
        <f t="shared" si="12"/>
        <v/>
      </c>
    </row>
    <row r="815" spans="4:5" x14ac:dyDescent="0.25">
      <c r="D815" s="10"/>
      <c r="E815" s="1" t="str">
        <f t="shared" si="12"/>
        <v/>
      </c>
    </row>
    <row r="816" spans="4:5" x14ac:dyDescent="0.25">
      <c r="D816" s="10"/>
      <c r="E816" s="1" t="str">
        <f t="shared" si="12"/>
        <v/>
      </c>
    </row>
    <row r="817" spans="4:5" x14ac:dyDescent="0.25">
      <c r="D817" s="10"/>
      <c r="E817" s="1" t="str">
        <f t="shared" si="12"/>
        <v/>
      </c>
    </row>
    <row r="818" spans="4:5" x14ac:dyDescent="0.25">
      <c r="D818" s="10"/>
      <c r="E818" s="1" t="str">
        <f t="shared" si="12"/>
        <v/>
      </c>
    </row>
    <row r="819" spans="4:5" x14ac:dyDescent="0.25">
      <c r="D819" s="10"/>
      <c r="E819" s="1" t="str">
        <f t="shared" si="12"/>
        <v/>
      </c>
    </row>
    <row r="820" spans="4:5" x14ac:dyDescent="0.25">
      <c r="D820" s="10"/>
      <c r="E820" s="1" t="str">
        <f t="shared" si="12"/>
        <v/>
      </c>
    </row>
    <row r="821" spans="4:5" x14ac:dyDescent="0.25">
      <c r="D821" s="10"/>
      <c r="E821" s="1" t="str">
        <f t="shared" si="12"/>
        <v/>
      </c>
    </row>
    <row r="822" spans="4:5" x14ac:dyDescent="0.25">
      <c r="D822" s="10"/>
      <c r="E822" s="1" t="str">
        <f t="shared" si="12"/>
        <v/>
      </c>
    </row>
    <row r="823" spans="4:5" x14ac:dyDescent="0.25">
      <c r="D823" s="10"/>
      <c r="E823" s="1" t="str">
        <f t="shared" si="12"/>
        <v/>
      </c>
    </row>
    <row r="824" spans="4:5" x14ac:dyDescent="0.25">
      <c r="D824" s="10"/>
      <c r="E824" s="1" t="str">
        <f t="shared" si="12"/>
        <v/>
      </c>
    </row>
    <row r="825" spans="4:5" x14ac:dyDescent="0.25">
      <c r="D825" s="10"/>
      <c r="E825" s="1" t="str">
        <f t="shared" si="12"/>
        <v/>
      </c>
    </row>
    <row r="826" spans="4:5" x14ac:dyDescent="0.25">
      <c r="D826" s="10"/>
      <c r="E826" s="1" t="str">
        <f t="shared" si="12"/>
        <v/>
      </c>
    </row>
    <row r="827" spans="4:5" x14ac:dyDescent="0.25">
      <c r="D827" s="10"/>
      <c r="E827" s="1" t="str">
        <f t="shared" si="12"/>
        <v/>
      </c>
    </row>
    <row r="828" spans="4:5" x14ac:dyDescent="0.25">
      <c r="D828" s="10"/>
      <c r="E828" s="1" t="str">
        <f t="shared" si="12"/>
        <v/>
      </c>
    </row>
    <row r="829" spans="4:5" x14ac:dyDescent="0.25">
      <c r="D829" s="10"/>
      <c r="E829" s="1" t="str">
        <f t="shared" si="12"/>
        <v/>
      </c>
    </row>
    <row r="830" spans="4:5" x14ac:dyDescent="0.25">
      <c r="D830" s="10"/>
      <c r="E830" s="1" t="str">
        <f t="shared" si="12"/>
        <v/>
      </c>
    </row>
    <row r="831" spans="4:5" x14ac:dyDescent="0.25">
      <c r="D831" s="10"/>
      <c r="E831" s="1" t="str">
        <f t="shared" si="12"/>
        <v/>
      </c>
    </row>
    <row r="832" spans="4:5" x14ac:dyDescent="0.25">
      <c r="D832" s="10"/>
      <c r="E832" s="1" t="str">
        <f t="shared" si="12"/>
        <v/>
      </c>
    </row>
    <row r="833" spans="4:5" x14ac:dyDescent="0.25">
      <c r="D833" s="10"/>
      <c r="E833" s="1" t="str">
        <f t="shared" si="12"/>
        <v/>
      </c>
    </row>
    <row r="834" spans="4:5" x14ac:dyDescent="0.25">
      <c r="D834" s="10"/>
      <c r="E834" s="1" t="str">
        <f t="shared" si="12"/>
        <v/>
      </c>
    </row>
    <row r="835" spans="4:5" x14ac:dyDescent="0.25">
      <c r="D835" s="10"/>
      <c r="E835" s="1" t="str">
        <f t="shared" ref="E835:E898" si="13">IF(ISBLANK($C835), "", "[" &amp; C835 &amp; ", '" &amp; A835 &amp; "', '" &amp; B835 &amp; "']" &amp; IF(E836 = "", "", ","))</f>
        <v/>
      </c>
    </row>
    <row r="836" spans="4:5" x14ac:dyDescent="0.25">
      <c r="D836" s="10"/>
      <c r="E836" s="1" t="str">
        <f t="shared" si="13"/>
        <v/>
      </c>
    </row>
    <row r="837" spans="4:5" x14ac:dyDescent="0.25">
      <c r="D837" s="10"/>
      <c r="E837" s="1" t="str">
        <f t="shared" si="13"/>
        <v/>
      </c>
    </row>
    <row r="838" spans="4:5" x14ac:dyDescent="0.25">
      <c r="D838" s="10"/>
      <c r="E838" s="1" t="str">
        <f t="shared" si="13"/>
        <v/>
      </c>
    </row>
    <row r="839" spans="4:5" x14ac:dyDescent="0.25">
      <c r="D839" s="10"/>
      <c r="E839" s="1" t="str">
        <f t="shared" si="13"/>
        <v/>
      </c>
    </row>
    <row r="840" spans="4:5" x14ac:dyDescent="0.25">
      <c r="D840" s="10"/>
      <c r="E840" s="1" t="str">
        <f t="shared" si="13"/>
        <v/>
      </c>
    </row>
    <row r="841" spans="4:5" x14ac:dyDescent="0.25">
      <c r="D841" s="10"/>
      <c r="E841" s="1" t="str">
        <f t="shared" si="13"/>
        <v/>
      </c>
    </row>
    <row r="842" spans="4:5" x14ac:dyDescent="0.25">
      <c r="D842" s="10"/>
      <c r="E842" s="1" t="str">
        <f t="shared" si="13"/>
        <v/>
      </c>
    </row>
    <row r="843" spans="4:5" x14ac:dyDescent="0.25">
      <c r="D843" s="10"/>
      <c r="E843" s="1" t="str">
        <f t="shared" si="13"/>
        <v/>
      </c>
    </row>
    <row r="844" spans="4:5" x14ac:dyDescent="0.25">
      <c r="D844" s="10"/>
      <c r="E844" s="1" t="str">
        <f t="shared" si="13"/>
        <v/>
      </c>
    </row>
    <row r="845" spans="4:5" x14ac:dyDescent="0.25">
      <c r="D845" s="10"/>
      <c r="E845" s="1" t="str">
        <f t="shared" si="13"/>
        <v/>
      </c>
    </row>
    <row r="846" spans="4:5" x14ac:dyDescent="0.25">
      <c r="D846" s="10"/>
      <c r="E846" s="1" t="str">
        <f t="shared" si="13"/>
        <v/>
      </c>
    </row>
    <row r="847" spans="4:5" x14ac:dyDescent="0.25">
      <c r="D847" s="10"/>
      <c r="E847" s="1" t="str">
        <f t="shared" si="13"/>
        <v/>
      </c>
    </row>
    <row r="848" spans="4:5" x14ac:dyDescent="0.25">
      <c r="D848" s="10"/>
      <c r="E848" s="1" t="str">
        <f t="shared" si="13"/>
        <v/>
      </c>
    </row>
    <row r="849" spans="4:5" x14ac:dyDescent="0.25">
      <c r="D849" s="10"/>
      <c r="E849" s="1" t="str">
        <f t="shared" si="13"/>
        <v/>
      </c>
    </row>
    <row r="850" spans="4:5" x14ac:dyDescent="0.25">
      <c r="D850" s="10"/>
      <c r="E850" s="1" t="str">
        <f t="shared" si="13"/>
        <v/>
      </c>
    </row>
    <row r="851" spans="4:5" x14ac:dyDescent="0.25">
      <c r="D851" s="10"/>
      <c r="E851" s="1" t="str">
        <f t="shared" si="13"/>
        <v/>
      </c>
    </row>
    <row r="852" spans="4:5" x14ac:dyDescent="0.25">
      <c r="D852" s="10"/>
      <c r="E852" s="1" t="str">
        <f t="shared" si="13"/>
        <v/>
      </c>
    </row>
    <row r="853" spans="4:5" x14ac:dyDescent="0.25">
      <c r="D853" s="10"/>
      <c r="E853" s="1" t="str">
        <f t="shared" si="13"/>
        <v/>
      </c>
    </row>
    <row r="854" spans="4:5" x14ac:dyDescent="0.25">
      <c r="D854" s="10"/>
      <c r="E854" s="1" t="str">
        <f t="shared" si="13"/>
        <v/>
      </c>
    </row>
    <row r="855" spans="4:5" x14ac:dyDescent="0.25">
      <c r="D855" s="10"/>
      <c r="E855" s="1" t="str">
        <f t="shared" si="13"/>
        <v/>
      </c>
    </row>
    <row r="856" spans="4:5" x14ac:dyDescent="0.25">
      <c r="D856" s="10"/>
      <c r="E856" s="1" t="str">
        <f t="shared" si="13"/>
        <v/>
      </c>
    </row>
    <row r="857" spans="4:5" x14ac:dyDescent="0.25">
      <c r="D857" s="10"/>
      <c r="E857" s="1" t="str">
        <f t="shared" si="13"/>
        <v/>
      </c>
    </row>
    <row r="858" spans="4:5" x14ac:dyDescent="0.25">
      <c r="D858" s="10"/>
      <c r="E858" s="1" t="str">
        <f t="shared" si="13"/>
        <v/>
      </c>
    </row>
    <row r="859" spans="4:5" x14ac:dyDescent="0.25">
      <c r="D859" s="10"/>
      <c r="E859" s="1" t="str">
        <f t="shared" si="13"/>
        <v/>
      </c>
    </row>
    <row r="860" spans="4:5" x14ac:dyDescent="0.25">
      <c r="D860" s="10"/>
      <c r="E860" s="1" t="str">
        <f t="shared" si="13"/>
        <v/>
      </c>
    </row>
    <row r="861" spans="4:5" x14ac:dyDescent="0.25">
      <c r="D861" s="10"/>
      <c r="E861" s="1" t="str">
        <f t="shared" si="13"/>
        <v/>
      </c>
    </row>
    <row r="862" spans="4:5" x14ac:dyDescent="0.25">
      <c r="D862" s="10"/>
      <c r="E862" s="1" t="str">
        <f t="shared" si="13"/>
        <v/>
      </c>
    </row>
    <row r="863" spans="4:5" x14ac:dyDescent="0.25">
      <c r="D863" s="10"/>
      <c r="E863" s="1" t="str">
        <f t="shared" si="13"/>
        <v/>
      </c>
    </row>
    <row r="864" spans="4:5" x14ac:dyDescent="0.25">
      <c r="D864" s="10"/>
      <c r="E864" s="1" t="str">
        <f t="shared" si="13"/>
        <v/>
      </c>
    </row>
    <row r="865" spans="4:5" x14ac:dyDescent="0.25">
      <c r="D865" s="10"/>
      <c r="E865" s="1" t="str">
        <f t="shared" si="13"/>
        <v/>
      </c>
    </row>
    <row r="866" spans="4:5" x14ac:dyDescent="0.25">
      <c r="D866" s="10"/>
      <c r="E866" s="1" t="str">
        <f t="shared" si="13"/>
        <v/>
      </c>
    </row>
    <row r="867" spans="4:5" x14ac:dyDescent="0.25">
      <c r="D867" s="10"/>
      <c r="E867" s="1" t="str">
        <f t="shared" si="13"/>
        <v/>
      </c>
    </row>
    <row r="868" spans="4:5" x14ac:dyDescent="0.25">
      <c r="D868" s="10"/>
      <c r="E868" s="1" t="str">
        <f t="shared" si="13"/>
        <v/>
      </c>
    </row>
    <row r="869" spans="4:5" x14ac:dyDescent="0.25">
      <c r="D869" s="10"/>
      <c r="E869" s="1" t="str">
        <f t="shared" si="13"/>
        <v/>
      </c>
    </row>
    <row r="870" spans="4:5" x14ac:dyDescent="0.25">
      <c r="D870" s="10"/>
      <c r="E870" s="1" t="str">
        <f t="shared" si="13"/>
        <v/>
      </c>
    </row>
    <row r="871" spans="4:5" x14ac:dyDescent="0.25">
      <c r="D871" s="10"/>
      <c r="E871" s="1" t="str">
        <f t="shared" si="13"/>
        <v/>
      </c>
    </row>
    <row r="872" spans="4:5" x14ac:dyDescent="0.25">
      <c r="D872" s="10"/>
      <c r="E872" s="1" t="str">
        <f t="shared" si="13"/>
        <v/>
      </c>
    </row>
    <row r="873" spans="4:5" x14ac:dyDescent="0.25">
      <c r="D873" s="10"/>
      <c r="E873" s="1" t="str">
        <f t="shared" si="13"/>
        <v/>
      </c>
    </row>
    <row r="874" spans="4:5" x14ac:dyDescent="0.25">
      <c r="D874" s="10"/>
      <c r="E874" s="1" t="str">
        <f t="shared" si="13"/>
        <v/>
      </c>
    </row>
    <row r="875" spans="4:5" x14ac:dyDescent="0.25">
      <c r="D875" s="10"/>
      <c r="E875" s="1" t="str">
        <f t="shared" si="13"/>
        <v/>
      </c>
    </row>
    <row r="876" spans="4:5" x14ac:dyDescent="0.25">
      <c r="D876" s="10"/>
      <c r="E876" s="1" t="str">
        <f t="shared" si="13"/>
        <v/>
      </c>
    </row>
    <row r="877" spans="4:5" x14ac:dyDescent="0.25">
      <c r="D877" s="10"/>
      <c r="E877" s="1" t="str">
        <f t="shared" si="13"/>
        <v/>
      </c>
    </row>
    <row r="878" spans="4:5" x14ac:dyDescent="0.25">
      <c r="D878" s="10"/>
      <c r="E878" s="1" t="str">
        <f t="shared" si="13"/>
        <v/>
      </c>
    </row>
    <row r="879" spans="4:5" x14ac:dyDescent="0.25">
      <c r="D879" s="10"/>
      <c r="E879" s="1" t="str">
        <f t="shared" si="13"/>
        <v/>
      </c>
    </row>
    <row r="880" spans="4:5" x14ac:dyDescent="0.25">
      <c r="D880" s="10"/>
      <c r="E880" s="1" t="str">
        <f t="shared" si="13"/>
        <v/>
      </c>
    </row>
    <row r="881" spans="4:5" x14ac:dyDescent="0.25">
      <c r="D881" s="10"/>
      <c r="E881" s="1" t="str">
        <f t="shared" si="13"/>
        <v/>
      </c>
    </row>
    <row r="882" spans="4:5" x14ac:dyDescent="0.25">
      <c r="D882" s="10"/>
      <c r="E882" s="1" t="str">
        <f t="shared" si="13"/>
        <v/>
      </c>
    </row>
    <row r="883" spans="4:5" x14ac:dyDescent="0.25">
      <c r="D883" s="10"/>
      <c r="E883" s="1" t="str">
        <f t="shared" si="13"/>
        <v/>
      </c>
    </row>
    <row r="884" spans="4:5" x14ac:dyDescent="0.25">
      <c r="D884" s="10"/>
      <c r="E884" s="1" t="str">
        <f t="shared" si="13"/>
        <v/>
      </c>
    </row>
    <row r="885" spans="4:5" x14ac:dyDescent="0.25">
      <c r="D885" s="10"/>
      <c r="E885" s="1" t="str">
        <f t="shared" si="13"/>
        <v/>
      </c>
    </row>
    <row r="886" spans="4:5" x14ac:dyDescent="0.25">
      <c r="D886" s="10"/>
      <c r="E886" s="1" t="str">
        <f t="shared" si="13"/>
        <v/>
      </c>
    </row>
    <row r="887" spans="4:5" x14ac:dyDescent="0.25">
      <c r="D887" s="10"/>
      <c r="E887" s="1" t="str">
        <f t="shared" si="13"/>
        <v/>
      </c>
    </row>
    <row r="888" spans="4:5" x14ac:dyDescent="0.25">
      <c r="D888" s="10"/>
      <c r="E888" s="1" t="str">
        <f t="shared" si="13"/>
        <v/>
      </c>
    </row>
    <row r="889" spans="4:5" x14ac:dyDescent="0.25">
      <c r="D889" s="10"/>
      <c r="E889" s="1" t="str">
        <f t="shared" si="13"/>
        <v/>
      </c>
    </row>
    <row r="890" spans="4:5" x14ac:dyDescent="0.25">
      <c r="D890" s="10"/>
      <c r="E890" s="1" t="str">
        <f t="shared" si="13"/>
        <v/>
      </c>
    </row>
    <row r="891" spans="4:5" x14ac:dyDescent="0.25">
      <c r="D891" s="10"/>
      <c r="E891" s="1" t="str">
        <f t="shared" si="13"/>
        <v/>
      </c>
    </row>
    <row r="892" spans="4:5" x14ac:dyDescent="0.25">
      <c r="D892" s="10"/>
      <c r="E892" s="1" t="str">
        <f t="shared" si="13"/>
        <v/>
      </c>
    </row>
    <row r="893" spans="4:5" x14ac:dyDescent="0.25">
      <c r="D893" s="10"/>
      <c r="E893" s="1" t="str">
        <f t="shared" si="13"/>
        <v/>
      </c>
    </row>
    <row r="894" spans="4:5" x14ac:dyDescent="0.25">
      <c r="D894" s="10"/>
      <c r="E894" s="1" t="str">
        <f t="shared" si="13"/>
        <v/>
      </c>
    </row>
    <row r="895" spans="4:5" x14ac:dyDescent="0.25">
      <c r="D895" s="10"/>
      <c r="E895" s="1" t="str">
        <f t="shared" si="13"/>
        <v/>
      </c>
    </row>
    <row r="896" spans="4:5" x14ac:dyDescent="0.25">
      <c r="D896" s="10"/>
      <c r="E896" s="1" t="str">
        <f t="shared" si="13"/>
        <v/>
      </c>
    </row>
    <row r="897" spans="4:5" x14ac:dyDescent="0.25">
      <c r="D897" s="10"/>
      <c r="E897" s="1" t="str">
        <f t="shared" si="13"/>
        <v/>
      </c>
    </row>
    <row r="898" spans="4:5" x14ac:dyDescent="0.25">
      <c r="D898" s="10"/>
      <c r="E898" s="1" t="str">
        <f t="shared" si="13"/>
        <v/>
      </c>
    </row>
    <row r="899" spans="4:5" x14ac:dyDescent="0.25">
      <c r="D899" s="10"/>
      <c r="E899" s="1" t="str">
        <f t="shared" ref="E899:E962" si="14">IF(ISBLANK($C899), "", "[" &amp; C899 &amp; ", '" &amp; A899 &amp; "', '" &amp; B899 &amp; "']" &amp; IF(E900 = "", "", ","))</f>
        <v/>
      </c>
    </row>
    <row r="900" spans="4:5" x14ac:dyDescent="0.25">
      <c r="D900" s="10"/>
      <c r="E900" s="1" t="str">
        <f t="shared" si="14"/>
        <v/>
      </c>
    </row>
    <row r="901" spans="4:5" x14ac:dyDescent="0.25">
      <c r="D901" s="10"/>
      <c r="E901" s="1" t="str">
        <f t="shared" si="14"/>
        <v/>
      </c>
    </row>
    <row r="902" spans="4:5" x14ac:dyDescent="0.25">
      <c r="D902" s="10"/>
      <c r="E902" s="1" t="str">
        <f t="shared" si="14"/>
        <v/>
      </c>
    </row>
    <row r="903" spans="4:5" x14ac:dyDescent="0.25">
      <c r="D903" s="10"/>
      <c r="E903" s="1" t="str">
        <f t="shared" si="14"/>
        <v/>
      </c>
    </row>
    <row r="904" spans="4:5" x14ac:dyDescent="0.25">
      <c r="D904" s="10"/>
      <c r="E904" s="1" t="str">
        <f t="shared" si="14"/>
        <v/>
      </c>
    </row>
    <row r="905" spans="4:5" x14ac:dyDescent="0.25">
      <c r="D905" s="10"/>
      <c r="E905" s="1" t="str">
        <f t="shared" si="14"/>
        <v/>
      </c>
    </row>
    <row r="906" spans="4:5" x14ac:dyDescent="0.25">
      <c r="D906" s="10"/>
      <c r="E906" s="1" t="str">
        <f t="shared" si="14"/>
        <v/>
      </c>
    </row>
    <row r="907" spans="4:5" x14ac:dyDescent="0.25">
      <c r="D907" s="10"/>
      <c r="E907" s="1" t="str">
        <f t="shared" si="14"/>
        <v/>
      </c>
    </row>
    <row r="908" spans="4:5" x14ac:dyDescent="0.25">
      <c r="D908" s="10"/>
      <c r="E908" s="1" t="str">
        <f t="shared" si="14"/>
        <v/>
      </c>
    </row>
    <row r="909" spans="4:5" x14ac:dyDescent="0.25">
      <c r="D909" s="10"/>
      <c r="E909" s="1" t="str">
        <f t="shared" si="14"/>
        <v/>
      </c>
    </row>
    <row r="910" spans="4:5" x14ac:dyDescent="0.25">
      <c r="D910" s="10"/>
      <c r="E910" s="1" t="str">
        <f t="shared" si="14"/>
        <v/>
      </c>
    </row>
    <row r="911" spans="4:5" x14ac:dyDescent="0.25">
      <c r="D911" s="10"/>
      <c r="E911" s="1" t="str">
        <f t="shared" si="14"/>
        <v/>
      </c>
    </row>
    <row r="912" spans="4:5" x14ac:dyDescent="0.25">
      <c r="D912" s="10"/>
      <c r="E912" s="1" t="str">
        <f t="shared" si="14"/>
        <v/>
      </c>
    </row>
    <row r="913" spans="4:5" x14ac:dyDescent="0.25">
      <c r="D913" s="10"/>
      <c r="E913" s="1" t="str">
        <f t="shared" si="14"/>
        <v/>
      </c>
    </row>
    <row r="914" spans="4:5" x14ac:dyDescent="0.25">
      <c r="D914" s="10"/>
      <c r="E914" s="1" t="str">
        <f t="shared" si="14"/>
        <v/>
      </c>
    </row>
    <row r="915" spans="4:5" x14ac:dyDescent="0.25">
      <c r="D915" s="10"/>
      <c r="E915" s="1" t="str">
        <f t="shared" si="14"/>
        <v/>
      </c>
    </row>
    <row r="916" spans="4:5" x14ac:dyDescent="0.25">
      <c r="D916" s="10"/>
      <c r="E916" s="1" t="str">
        <f t="shared" si="14"/>
        <v/>
      </c>
    </row>
    <row r="917" spans="4:5" x14ac:dyDescent="0.25">
      <c r="D917" s="10"/>
      <c r="E917" s="1" t="str">
        <f t="shared" si="14"/>
        <v/>
      </c>
    </row>
    <row r="918" spans="4:5" x14ac:dyDescent="0.25">
      <c r="D918" s="10"/>
      <c r="E918" s="1" t="str">
        <f t="shared" si="14"/>
        <v/>
      </c>
    </row>
    <row r="919" spans="4:5" x14ac:dyDescent="0.25">
      <c r="D919" s="10"/>
      <c r="E919" s="1" t="str">
        <f t="shared" si="14"/>
        <v/>
      </c>
    </row>
    <row r="920" spans="4:5" x14ac:dyDescent="0.25">
      <c r="D920" s="10"/>
      <c r="E920" s="1" t="str">
        <f t="shared" si="14"/>
        <v/>
      </c>
    </row>
    <row r="921" spans="4:5" x14ac:dyDescent="0.25">
      <c r="D921" s="10"/>
      <c r="E921" s="1" t="str">
        <f t="shared" si="14"/>
        <v/>
      </c>
    </row>
    <row r="922" spans="4:5" x14ac:dyDescent="0.25">
      <c r="D922" s="10"/>
      <c r="E922" s="1" t="str">
        <f t="shared" si="14"/>
        <v/>
      </c>
    </row>
    <row r="923" spans="4:5" x14ac:dyDescent="0.25">
      <c r="D923" s="10"/>
      <c r="E923" s="1" t="str">
        <f t="shared" si="14"/>
        <v/>
      </c>
    </row>
    <row r="924" spans="4:5" x14ac:dyDescent="0.25">
      <c r="D924" s="10"/>
      <c r="E924" s="1" t="str">
        <f t="shared" si="14"/>
        <v/>
      </c>
    </row>
    <row r="925" spans="4:5" x14ac:dyDescent="0.25">
      <c r="D925" s="10"/>
      <c r="E925" s="1" t="str">
        <f t="shared" si="14"/>
        <v/>
      </c>
    </row>
    <row r="926" spans="4:5" x14ac:dyDescent="0.25">
      <c r="D926" s="10"/>
      <c r="E926" s="1" t="str">
        <f t="shared" si="14"/>
        <v/>
      </c>
    </row>
    <row r="927" spans="4:5" x14ac:dyDescent="0.25">
      <c r="D927" s="10"/>
      <c r="E927" s="1" t="str">
        <f t="shared" si="14"/>
        <v/>
      </c>
    </row>
    <row r="928" spans="4:5" x14ac:dyDescent="0.25">
      <c r="D928" s="10"/>
      <c r="E928" s="1" t="str">
        <f t="shared" si="14"/>
        <v/>
      </c>
    </row>
    <row r="929" spans="4:5" x14ac:dyDescent="0.25">
      <c r="D929" s="10"/>
      <c r="E929" s="1" t="str">
        <f t="shared" si="14"/>
        <v/>
      </c>
    </row>
    <row r="930" spans="4:5" x14ac:dyDescent="0.25">
      <c r="D930" s="10"/>
      <c r="E930" s="1" t="str">
        <f t="shared" si="14"/>
        <v/>
      </c>
    </row>
    <row r="931" spans="4:5" x14ac:dyDescent="0.25">
      <c r="D931" s="10"/>
      <c r="E931" s="1" t="str">
        <f t="shared" si="14"/>
        <v/>
      </c>
    </row>
    <row r="932" spans="4:5" x14ac:dyDescent="0.25">
      <c r="D932" s="10"/>
      <c r="E932" s="1" t="str">
        <f t="shared" si="14"/>
        <v/>
      </c>
    </row>
    <row r="933" spans="4:5" x14ac:dyDescent="0.25">
      <c r="D933" s="10"/>
      <c r="E933" s="1" t="str">
        <f t="shared" si="14"/>
        <v/>
      </c>
    </row>
    <row r="934" spans="4:5" x14ac:dyDescent="0.25">
      <c r="D934" s="10"/>
      <c r="E934" s="1" t="str">
        <f t="shared" si="14"/>
        <v/>
      </c>
    </row>
    <row r="935" spans="4:5" x14ac:dyDescent="0.25">
      <c r="D935" s="10"/>
      <c r="E935" s="1" t="str">
        <f t="shared" si="14"/>
        <v/>
      </c>
    </row>
    <row r="936" spans="4:5" x14ac:dyDescent="0.25">
      <c r="D936" s="10"/>
      <c r="E936" s="1" t="str">
        <f t="shared" si="14"/>
        <v/>
      </c>
    </row>
    <row r="937" spans="4:5" x14ac:dyDescent="0.25">
      <c r="D937" s="10"/>
      <c r="E937" s="1" t="str">
        <f t="shared" si="14"/>
        <v/>
      </c>
    </row>
    <row r="938" spans="4:5" x14ac:dyDescent="0.25">
      <c r="D938" s="10"/>
      <c r="E938" s="1" t="str">
        <f t="shared" si="14"/>
        <v/>
      </c>
    </row>
    <row r="939" spans="4:5" x14ac:dyDescent="0.25">
      <c r="D939" s="10"/>
      <c r="E939" s="1" t="str">
        <f t="shared" si="14"/>
        <v/>
      </c>
    </row>
    <row r="940" spans="4:5" x14ac:dyDescent="0.25">
      <c r="D940" s="10"/>
      <c r="E940" s="1" t="str">
        <f t="shared" si="14"/>
        <v/>
      </c>
    </row>
    <row r="941" spans="4:5" x14ac:dyDescent="0.25">
      <c r="D941" s="10"/>
      <c r="E941" s="1" t="str">
        <f t="shared" si="14"/>
        <v/>
      </c>
    </row>
    <row r="942" spans="4:5" x14ac:dyDescent="0.25">
      <c r="D942" s="10"/>
      <c r="E942" s="1" t="str">
        <f t="shared" si="14"/>
        <v/>
      </c>
    </row>
    <row r="943" spans="4:5" x14ac:dyDescent="0.25">
      <c r="D943" s="10"/>
      <c r="E943" s="1" t="str">
        <f t="shared" si="14"/>
        <v/>
      </c>
    </row>
    <row r="944" spans="4:5" x14ac:dyDescent="0.25">
      <c r="D944" s="10"/>
      <c r="E944" s="1" t="str">
        <f t="shared" si="14"/>
        <v/>
      </c>
    </row>
    <row r="945" spans="4:5" x14ac:dyDescent="0.25">
      <c r="D945" s="10"/>
      <c r="E945" s="1" t="str">
        <f t="shared" si="14"/>
        <v/>
      </c>
    </row>
    <row r="946" spans="4:5" x14ac:dyDescent="0.25">
      <c r="D946" s="10"/>
      <c r="E946" s="1" t="str">
        <f t="shared" si="14"/>
        <v/>
      </c>
    </row>
    <row r="947" spans="4:5" x14ac:dyDescent="0.25">
      <c r="D947" s="10"/>
      <c r="E947" s="1" t="str">
        <f t="shared" si="14"/>
        <v/>
      </c>
    </row>
    <row r="948" spans="4:5" x14ac:dyDescent="0.25">
      <c r="D948" s="10"/>
      <c r="E948" s="1" t="str">
        <f t="shared" si="14"/>
        <v/>
      </c>
    </row>
    <row r="949" spans="4:5" x14ac:dyDescent="0.25">
      <c r="D949" s="10"/>
      <c r="E949" s="1" t="str">
        <f t="shared" si="14"/>
        <v/>
      </c>
    </row>
    <row r="950" spans="4:5" x14ac:dyDescent="0.25">
      <c r="D950" s="10"/>
      <c r="E950" s="1" t="str">
        <f t="shared" si="14"/>
        <v/>
      </c>
    </row>
    <row r="951" spans="4:5" x14ac:dyDescent="0.25">
      <c r="D951" s="10"/>
      <c r="E951" s="1" t="str">
        <f t="shared" si="14"/>
        <v/>
      </c>
    </row>
    <row r="952" spans="4:5" x14ac:dyDescent="0.25">
      <c r="D952" s="10"/>
      <c r="E952" s="1" t="str">
        <f t="shared" si="14"/>
        <v/>
      </c>
    </row>
    <row r="953" spans="4:5" x14ac:dyDescent="0.25">
      <c r="D953" s="10"/>
      <c r="E953" s="1" t="str">
        <f t="shared" si="14"/>
        <v/>
      </c>
    </row>
    <row r="954" spans="4:5" x14ac:dyDescent="0.25">
      <c r="D954" s="10"/>
      <c r="E954" s="1" t="str">
        <f t="shared" si="14"/>
        <v/>
      </c>
    </row>
    <row r="955" spans="4:5" x14ac:dyDescent="0.25">
      <c r="D955" s="10"/>
      <c r="E955" s="1" t="str">
        <f t="shared" si="14"/>
        <v/>
      </c>
    </row>
    <row r="956" spans="4:5" x14ac:dyDescent="0.25">
      <c r="D956" s="10"/>
      <c r="E956" s="1" t="str">
        <f t="shared" si="14"/>
        <v/>
      </c>
    </row>
    <row r="957" spans="4:5" x14ac:dyDescent="0.25">
      <c r="D957" s="10"/>
      <c r="E957" s="1" t="str">
        <f t="shared" si="14"/>
        <v/>
      </c>
    </row>
    <row r="958" spans="4:5" x14ac:dyDescent="0.25">
      <c r="D958" s="10"/>
      <c r="E958" s="1" t="str">
        <f t="shared" si="14"/>
        <v/>
      </c>
    </row>
    <row r="959" spans="4:5" x14ac:dyDescent="0.25">
      <c r="D959" s="10"/>
      <c r="E959" s="1" t="str">
        <f t="shared" si="14"/>
        <v/>
      </c>
    </row>
    <row r="960" spans="4:5" x14ac:dyDescent="0.25">
      <c r="D960" s="10"/>
      <c r="E960" s="1" t="str">
        <f t="shared" si="14"/>
        <v/>
      </c>
    </row>
    <row r="961" spans="4:5" x14ac:dyDescent="0.25">
      <c r="D961" s="10"/>
      <c r="E961" s="1" t="str">
        <f t="shared" si="14"/>
        <v/>
      </c>
    </row>
    <row r="962" spans="4:5" x14ac:dyDescent="0.25">
      <c r="D962" s="10"/>
      <c r="E962" s="1" t="str">
        <f t="shared" si="14"/>
        <v/>
      </c>
    </row>
    <row r="963" spans="4:5" x14ac:dyDescent="0.25">
      <c r="D963" s="10"/>
      <c r="E963" s="1" t="str">
        <f t="shared" ref="E963:E999" si="15">IF(ISBLANK($C963), "", "[" &amp; C963 &amp; ", '" &amp; A963 &amp; "', '" &amp; B963 &amp; "']" &amp; IF(E964 = "", "", ","))</f>
        <v/>
      </c>
    </row>
    <row r="964" spans="4:5" x14ac:dyDescent="0.25">
      <c r="D964" s="10"/>
      <c r="E964" s="1" t="str">
        <f t="shared" si="15"/>
        <v/>
      </c>
    </row>
    <row r="965" spans="4:5" x14ac:dyDescent="0.25">
      <c r="D965" s="10"/>
      <c r="E965" s="1" t="str">
        <f t="shared" si="15"/>
        <v/>
      </c>
    </row>
    <row r="966" spans="4:5" x14ac:dyDescent="0.25">
      <c r="D966" s="10"/>
      <c r="E966" s="1" t="str">
        <f t="shared" si="15"/>
        <v/>
      </c>
    </row>
    <row r="967" spans="4:5" x14ac:dyDescent="0.25">
      <c r="D967" s="10"/>
      <c r="E967" s="1" t="str">
        <f t="shared" si="15"/>
        <v/>
      </c>
    </row>
    <row r="968" spans="4:5" x14ac:dyDescent="0.25">
      <c r="D968" s="10"/>
      <c r="E968" s="1" t="str">
        <f t="shared" si="15"/>
        <v/>
      </c>
    </row>
    <row r="969" spans="4:5" x14ac:dyDescent="0.25">
      <c r="D969" s="10"/>
      <c r="E969" s="1" t="str">
        <f t="shared" si="15"/>
        <v/>
      </c>
    </row>
    <row r="970" spans="4:5" x14ac:dyDescent="0.25">
      <c r="D970" s="10"/>
      <c r="E970" s="1" t="str">
        <f t="shared" si="15"/>
        <v/>
      </c>
    </row>
    <row r="971" spans="4:5" x14ac:dyDescent="0.25">
      <c r="D971" s="10"/>
      <c r="E971" s="1" t="str">
        <f t="shared" si="15"/>
        <v/>
      </c>
    </row>
    <row r="972" spans="4:5" x14ac:dyDescent="0.25">
      <c r="D972" s="10"/>
      <c r="E972" s="1" t="str">
        <f t="shared" si="15"/>
        <v/>
      </c>
    </row>
    <row r="973" spans="4:5" x14ac:dyDescent="0.25">
      <c r="D973" s="10"/>
      <c r="E973" s="1" t="str">
        <f t="shared" si="15"/>
        <v/>
      </c>
    </row>
    <row r="974" spans="4:5" x14ac:dyDescent="0.25">
      <c r="D974" s="10"/>
      <c r="E974" s="1" t="str">
        <f t="shared" si="15"/>
        <v/>
      </c>
    </row>
    <row r="975" spans="4:5" x14ac:dyDescent="0.25">
      <c r="D975" s="10"/>
      <c r="E975" s="1" t="str">
        <f t="shared" si="15"/>
        <v/>
      </c>
    </row>
    <row r="976" spans="4:5" x14ac:dyDescent="0.25">
      <c r="D976" s="10"/>
      <c r="E976" s="1" t="str">
        <f t="shared" si="15"/>
        <v/>
      </c>
    </row>
    <row r="977" spans="4:5" x14ac:dyDescent="0.25">
      <c r="D977" s="10"/>
      <c r="E977" s="1" t="str">
        <f t="shared" si="15"/>
        <v/>
      </c>
    </row>
    <row r="978" spans="4:5" x14ac:dyDescent="0.25">
      <c r="D978" s="10"/>
      <c r="E978" s="1" t="str">
        <f t="shared" si="15"/>
        <v/>
      </c>
    </row>
    <row r="979" spans="4:5" x14ac:dyDescent="0.25">
      <c r="D979" s="10"/>
      <c r="E979" s="1" t="str">
        <f t="shared" si="15"/>
        <v/>
      </c>
    </row>
    <row r="980" spans="4:5" x14ac:dyDescent="0.25">
      <c r="D980" s="10"/>
      <c r="E980" s="1" t="str">
        <f t="shared" si="15"/>
        <v/>
      </c>
    </row>
    <row r="981" spans="4:5" x14ac:dyDescent="0.25">
      <c r="D981" s="10"/>
      <c r="E981" s="1" t="str">
        <f t="shared" si="15"/>
        <v/>
      </c>
    </row>
    <row r="982" spans="4:5" x14ac:dyDescent="0.25">
      <c r="D982" s="10"/>
      <c r="E982" s="1" t="str">
        <f t="shared" si="15"/>
        <v/>
      </c>
    </row>
    <row r="983" spans="4:5" x14ac:dyDescent="0.25">
      <c r="D983" s="10"/>
      <c r="E983" s="1" t="str">
        <f t="shared" si="15"/>
        <v/>
      </c>
    </row>
    <row r="984" spans="4:5" x14ac:dyDescent="0.25">
      <c r="D984" s="10"/>
      <c r="E984" s="1" t="str">
        <f t="shared" si="15"/>
        <v/>
      </c>
    </row>
    <row r="985" spans="4:5" x14ac:dyDescent="0.25">
      <c r="D985" s="10"/>
      <c r="E985" s="1" t="str">
        <f t="shared" si="15"/>
        <v/>
      </c>
    </row>
    <row r="986" spans="4:5" x14ac:dyDescent="0.25">
      <c r="D986" s="10"/>
      <c r="E986" s="1" t="str">
        <f t="shared" si="15"/>
        <v/>
      </c>
    </row>
    <row r="987" spans="4:5" x14ac:dyDescent="0.25">
      <c r="D987" s="10"/>
      <c r="E987" s="1" t="str">
        <f t="shared" si="15"/>
        <v/>
      </c>
    </row>
    <row r="988" spans="4:5" x14ac:dyDescent="0.25">
      <c r="D988" s="10"/>
      <c r="E988" s="1" t="str">
        <f t="shared" si="15"/>
        <v/>
      </c>
    </row>
    <row r="989" spans="4:5" x14ac:dyDescent="0.25">
      <c r="D989" s="10"/>
      <c r="E989" s="1" t="str">
        <f t="shared" si="15"/>
        <v/>
      </c>
    </row>
    <row r="990" spans="4:5" x14ac:dyDescent="0.25">
      <c r="D990" s="10"/>
      <c r="E990" s="1" t="str">
        <f t="shared" si="15"/>
        <v/>
      </c>
    </row>
    <row r="991" spans="4:5" x14ac:dyDescent="0.25">
      <c r="D991" s="10"/>
      <c r="E991" s="1" t="str">
        <f t="shared" si="15"/>
        <v/>
      </c>
    </row>
    <row r="992" spans="4:5" x14ac:dyDescent="0.25">
      <c r="D992" s="10"/>
      <c r="E992" s="1" t="str">
        <f t="shared" si="15"/>
        <v/>
      </c>
    </row>
    <row r="993" spans="4:5" x14ac:dyDescent="0.25">
      <c r="D993" s="10"/>
      <c r="E993" s="1" t="str">
        <f t="shared" si="15"/>
        <v/>
      </c>
    </row>
    <row r="994" spans="4:5" x14ac:dyDescent="0.25">
      <c r="D994" s="10"/>
      <c r="E994" s="1" t="str">
        <f t="shared" si="15"/>
        <v/>
      </c>
    </row>
    <row r="995" spans="4:5" x14ac:dyDescent="0.25">
      <c r="D995" s="10"/>
      <c r="E995" s="1" t="str">
        <f t="shared" si="15"/>
        <v/>
      </c>
    </row>
    <row r="996" spans="4:5" x14ac:dyDescent="0.25">
      <c r="D996" s="10"/>
      <c r="E996" s="1" t="str">
        <f t="shared" si="15"/>
        <v/>
      </c>
    </row>
    <row r="997" spans="4:5" x14ac:dyDescent="0.25">
      <c r="D997" s="10"/>
      <c r="E997" s="1" t="str">
        <f t="shared" si="15"/>
        <v/>
      </c>
    </row>
    <row r="998" spans="4:5" x14ac:dyDescent="0.25">
      <c r="D998" s="10"/>
      <c r="E998" s="1" t="str">
        <f t="shared" si="15"/>
        <v/>
      </c>
    </row>
    <row r="999" spans="4:5" x14ac:dyDescent="0.25">
      <c r="D999" s="10"/>
      <c r="E999" s="1" t="str">
        <f t="shared" si="15"/>
        <v/>
      </c>
    </row>
    <row r="1000" spans="4:5" x14ac:dyDescent="0.25">
      <c r="E1000" s="17"/>
    </row>
    <row r="1001" spans="4:5" x14ac:dyDescent="0.25">
      <c r="E1001" s="17"/>
    </row>
  </sheetData>
  <sheetProtection formatCells="0"/>
  <protectedRanges>
    <protectedRange sqref="B245:B249 C245:C251 B221:C244 D221:D999 B2:D220" name="Range1"/>
  </protectedRanges>
  <dataValidations count="1">
    <dataValidation allowBlank="1" showInputMessage="1" showErrorMessage="1" promptTitle="Adam" prompt="Do not edit" sqref="G1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generate_JSON">
                <anchor moveWithCells="1" sizeWithCells="1">
                  <from>
                    <xdr:col>5</xdr:col>
                    <xdr:colOff>342900</xdr:colOff>
                    <xdr:row>1</xdr:row>
                    <xdr:rowOff>161925</xdr:rowOff>
                  </from>
                  <to>
                    <xdr:col>6</xdr:col>
                    <xdr:colOff>1762125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Colors!$A$1:$A$11</xm:f>
          </x14:formula1>
          <xm:sqref>D2:D999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1"/>
  <sheetViews>
    <sheetView workbookViewId="0"/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3</v>
      </c>
    </row>
    <row r="3" spans="1:1" x14ac:dyDescent="0.25">
      <c r="A3" t="s">
        <v>9</v>
      </c>
    </row>
    <row r="4" spans="1:1" x14ac:dyDescent="0.25">
      <c r="A4" t="s">
        <v>4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6</v>
      </c>
    </row>
    <row r="10" spans="1:1" x14ac:dyDescent="0.25">
      <c r="A10" t="s">
        <v>14</v>
      </c>
    </row>
    <row r="11" spans="1:1" x14ac:dyDescent="0.25">
      <c r="A11" t="s">
        <v>5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JSON Generator</vt:lpstr>
      <vt:lpstr>Colors</vt:lpstr>
      <vt:lpstr>filepath</vt:lpstr>
      <vt:lpstr>timestamp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Chin</dc:creator>
  <cp:lastModifiedBy>Adam Chin</cp:lastModifiedBy>
  <cp:lastPrinted>2016-09-21T18:16:41Z</cp:lastPrinted>
  <dcterms:created xsi:type="dcterms:W3CDTF">2014-10-16T13:08:55Z</dcterms:created>
  <dcterms:modified xsi:type="dcterms:W3CDTF">2018-11-12T16:59:22Z</dcterms:modified>
</cp:coreProperties>
</file>